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109"/>
  <workbookPr/>
  <mc:AlternateContent xmlns:mc="http://schemas.openxmlformats.org/markup-compatibility/2006">
    <mc:Choice Requires="x15">
      <x15ac:absPath xmlns:x15ac="http://schemas.microsoft.com/office/spreadsheetml/2010/11/ac" url="/Users/Francesco/Desktop/"/>
    </mc:Choice>
  </mc:AlternateContent>
  <bookViews>
    <workbookView xWindow="2860" yWindow="460" windowWidth="25940" windowHeight="16200" firstSheet="1" activeTab="1"/>
  </bookViews>
  <sheets>
    <sheet name="Oocyst infection load" sheetId="1" r:id="rId1"/>
    <sheet name="Sheet1" sheetId="2" r:id="rId2"/>
  </sheets>
  <definedNames>
    <definedName name="_xlnm._FilterDatabase" localSheetId="0" hidden="1">'Oocyst infection load'!$C$1:$H$1</definedName>
    <definedName name="_xlnm._FilterDatabase" localSheetId="1" hidden="1">Sheet1!$F$109:$K$109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2" i="2"/>
  <c r="J36" i="1"/>
  <c r="J35" i="1"/>
</calcChain>
</file>

<file path=xl/sharedStrings.xml><?xml version="1.0" encoding="utf-8"?>
<sst xmlns="http://schemas.openxmlformats.org/spreadsheetml/2006/main" count="845" uniqueCount="425">
  <si>
    <t>status</t>
  </si>
  <si>
    <t>load</t>
  </si>
  <si>
    <t>M113G0</t>
  </si>
  <si>
    <t>M113G5</t>
  </si>
  <si>
    <t>M113G12</t>
  </si>
  <si>
    <t>M113G18</t>
  </si>
  <si>
    <t>M113G24</t>
  </si>
  <si>
    <t>M113G30</t>
  </si>
  <si>
    <t>M113G1</t>
  </si>
  <si>
    <t>M113G7</t>
  </si>
  <si>
    <t>M113G10</t>
  </si>
  <si>
    <t>M113G19</t>
  </si>
  <si>
    <t>M113G25</t>
  </si>
  <si>
    <t>M113G31</t>
  </si>
  <si>
    <t>M113G2</t>
  </si>
  <si>
    <t>M113G8</t>
  </si>
  <si>
    <t>M113G11</t>
  </si>
  <si>
    <t>M113G20</t>
  </si>
  <si>
    <t>M113G26</t>
  </si>
  <si>
    <t>M113G32</t>
  </si>
  <si>
    <t>M113G3</t>
  </si>
  <si>
    <t>M113G9</t>
  </si>
  <si>
    <t>M113G15</t>
  </si>
  <si>
    <t>M113G21</t>
  </si>
  <si>
    <t>M113G27</t>
  </si>
  <si>
    <t>M113G33</t>
  </si>
  <si>
    <t>M113G4</t>
  </si>
  <si>
    <t>M113G13</t>
  </si>
  <si>
    <t>M113G16</t>
  </si>
  <si>
    <t>M113G22</t>
  </si>
  <si>
    <t>M113G28</t>
  </si>
  <si>
    <t>M113G34</t>
  </si>
  <si>
    <t>M113G6</t>
  </si>
  <si>
    <t>M113G14</t>
  </si>
  <si>
    <t>M113G17</t>
  </si>
  <si>
    <t>M113G23</t>
  </si>
  <si>
    <t>M113G29</t>
  </si>
  <si>
    <t>M113G35</t>
  </si>
  <si>
    <t>M113G36</t>
  </si>
  <si>
    <t>M113G37</t>
  </si>
  <si>
    <t>M113G38</t>
  </si>
  <si>
    <t>M113G39</t>
  </si>
  <si>
    <t>M113G40</t>
  </si>
  <si>
    <t>M114G1</t>
  </si>
  <si>
    <t>M114G2</t>
  </si>
  <si>
    <t>M114G3</t>
  </si>
  <si>
    <t>M114G4</t>
  </si>
  <si>
    <t>M114G5</t>
  </si>
  <si>
    <t>M114G6</t>
  </si>
  <si>
    <t>M114G7</t>
  </si>
  <si>
    <t>M114G8</t>
  </si>
  <si>
    <t>M114G9</t>
  </si>
  <si>
    <t>M114G10</t>
  </si>
  <si>
    <t>M114G11</t>
  </si>
  <si>
    <t>M114G12</t>
  </si>
  <si>
    <t>M114G13</t>
  </si>
  <si>
    <t>M114G14</t>
  </si>
  <si>
    <t>M114G15</t>
  </si>
  <si>
    <t>M114G16</t>
  </si>
  <si>
    <t>M115G0</t>
  </si>
  <si>
    <t>M115G1</t>
  </si>
  <si>
    <t>M114G17</t>
  </si>
  <si>
    <t>M114G18</t>
  </si>
  <si>
    <t>M114G19</t>
  </si>
  <si>
    <t>M114G20</t>
  </si>
  <si>
    <t>M114G21</t>
  </si>
  <si>
    <t>M114G22</t>
  </si>
  <si>
    <t>M114G23</t>
  </si>
  <si>
    <t>M114G24</t>
  </si>
  <si>
    <t>M114G25</t>
  </si>
  <si>
    <t>M114G26</t>
  </si>
  <si>
    <t>M114G27</t>
  </si>
  <si>
    <t>M114G28</t>
  </si>
  <si>
    <t>M114G29</t>
  </si>
  <si>
    <t>M114G30</t>
  </si>
  <si>
    <t>M114G31</t>
  </si>
  <si>
    <t>M114G32</t>
  </si>
  <si>
    <t>M114G33</t>
  </si>
  <si>
    <t>M114G34</t>
  </si>
  <si>
    <t>M114G35</t>
  </si>
  <si>
    <t>M114G36</t>
  </si>
  <si>
    <t>M114G37</t>
  </si>
  <si>
    <t>M114G38</t>
  </si>
  <si>
    <t>M114G39</t>
  </si>
  <si>
    <t>M114G40</t>
  </si>
  <si>
    <t>M114G41</t>
  </si>
  <si>
    <t>M114G42</t>
  </si>
  <si>
    <t>M114G43</t>
  </si>
  <si>
    <t>M114G44</t>
  </si>
  <si>
    <t>M114G45</t>
  </si>
  <si>
    <t>M114G46</t>
  </si>
  <si>
    <t>M114G47</t>
  </si>
  <si>
    <t>M114G48</t>
  </si>
  <si>
    <t>M114G49</t>
  </si>
  <si>
    <t>M114G50</t>
  </si>
  <si>
    <t>M114G51</t>
  </si>
  <si>
    <t>M114G52</t>
  </si>
  <si>
    <t>M114G53</t>
  </si>
  <si>
    <t>M114G54</t>
  </si>
  <si>
    <t>M114G55</t>
  </si>
  <si>
    <t>M114G56</t>
  </si>
  <si>
    <t>M114G57</t>
  </si>
  <si>
    <t>M115G2</t>
  </si>
  <si>
    <t>M115G9</t>
  </si>
  <si>
    <t>M115G10</t>
  </si>
  <si>
    <t>M115G13</t>
  </si>
  <si>
    <t>M115G14</t>
  </si>
  <si>
    <t>M115G18</t>
  </si>
  <si>
    <t>M115G19</t>
  </si>
  <si>
    <t>M115G20</t>
  </si>
  <si>
    <t>M115G21</t>
  </si>
  <si>
    <t>M115G22</t>
  </si>
  <si>
    <t>M115G23</t>
  </si>
  <si>
    <t>M115G24</t>
  </si>
  <si>
    <t>M115G25</t>
  </si>
  <si>
    <t>M115G26</t>
  </si>
  <si>
    <t>M115G27</t>
  </si>
  <si>
    <t>M115G28</t>
  </si>
  <si>
    <t>M115G29</t>
  </si>
  <si>
    <t>M115G30</t>
  </si>
  <si>
    <t>M115G31</t>
  </si>
  <si>
    <t>M115G32</t>
  </si>
  <si>
    <t>M115G33</t>
  </si>
  <si>
    <t>M115G34</t>
  </si>
  <si>
    <t>M115G35</t>
  </si>
  <si>
    <t>M115G36</t>
  </si>
  <si>
    <t>M115G37</t>
  </si>
  <si>
    <t>M115G39</t>
  </si>
  <si>
    <t>M115G40</t>
  </si>
  <si>
    <t>M115G41</t>
  </si>
  <si>
    <t>M115G42</t>
  </si>
  <si>
    <t>M115G43</t>
  </si>
  <si>
    <t>M115G44</t>
  </si>
  <si>
    <t>M115G45</t>
  </si>
  <si>
    <t>M115G46</t>
  </si>
  <si>
    <t>M115G47</t>
  </si>
  <si>
    <t>M115G48</t>
  </si>
  <si>
    <t>M115G49</t>
  </si>
  <si>
    <t>M115G50</t>
  </si>
  <si>
    <t>M115G51</t>
  </si>
  <si>
    <t>M115G53</t>
  </si>
  <si>
    <t>M215G7</t>
  </si>
  <si>
    <t>M215G8</t>
  </si>
  <si>
    <t>M215G9</t>
  </si>
  <si>
    <t>M215G10</t>
  </si>
  <si>
    <t>M215G11</t>
  </si>
  <si>
    <t>M215G12</t>
  </si>
  <si>
    <t>M215G13</t>
  </si>
  <si>
    <t>M215G14</t>
  </si>
  <si>
    <t>M215G15</t>
  </si>
  <si>
    <t>M215G16</t>
  </si>
  <si>
    <t>M215G17</t>
  </si>
  <si>
    <t>M215G18</t>
  </si>
  <si>
    <t>M215G19</t>
  </si>
  <si>
    <t>M215G20</t>
  </si>
  <si>
    <t>M215G21</t>
  </si>
  <si>
    <t>M215G22</t>
  </si>
  <si>
    <t>M215G23</t>
  </si>
  <si>
    <t>M215G24</t>
  </si>
  <si>
    <t>M215G25</t>
  </si>
  <si>
    <t>M215G26</t>
  </si>
  <si>
    <t>M215G28</t>
  </si>
  <si>
    <t>M215G30</t>
  </si>
  <si>
    <t>M215G31</t>
  </si>
  <si>
    <t>M215G32</t>
  </si>
  <si>
    <t>M215G33</t>
  </si>
  <si>
    <t>M215G34</t>
  </si>
  <si>
    <t>M215C0</t>
  </si>
  <si>
    <t>M215C1</t>
  </si>
  <si>
    <t>M215C2</t>
  </si>
  <si>
    <t>M215C3</t>
  </si>
  <si>
    <t>M215C4</t>
  </si>
  <si>
    <t>M215C5</t>
  </si>
  <si>
    <t>M113C0</t>
  </si>
  <si>
    <t>M113C1</t>
  </si>
  <si>
    <t>M113C2</t>
  </si>
  <si>
    <t>M113C3</t>
  </si>
  <si>
    <t>M113C4</t>
  </si>
  <si>
    <t>M113C5</t>
  </si>
  <si>
    <t>M114C0</t>
  </si>
  <si>
    <t>M114C1</t>
  </si>
  <si>
    <t>M114C2</t>
  </si>
  <si>
    <t>M114C3</t>
  </si>
  <si>
    <t>M114C4</t>
  </si>
  <si>
    <t>M114C5</t>
  </si>
  <si>
    <t>M115C0</t>
  </si>
  <si>
    <t>M115C1</t>
  </si>
  <si>
    <t>M115C2</t>
  </si>
  <si>
    <t>M115C3</t>
  </si>
  <si>
    <t>M115C4</t>
  </si>
  <si>
    <t>M115C5</t>
  </si>
  <si>
    <t>M216C0</t>
  </si>
  <si>
    <t>M216C1</t>
  </si>
  <si>
    <t>M216C2</t>
  </si>
  <si>
    <t>M216C3</t>
  </si>
  <si>
    <t>M216C4</t>
  </si>
  <si>
    <t>M216C5</t>
  </si>
  <si>
    <t>M214C0</t>
  </si>
  <si>
    <t>M214C1</t>
  </si>
  <si>
    <t>M214C2</t>
  </si>
  <si>
    <t>M214C3</t>
  </si>
  <si>
    <t>M214C4</t>
  </si>
  <si>
    <t>M214C5</t>
  </si>
  <si>
    <t>M115G54</t>
  </si>
  <si>
    <t>M115G55</t>
  </si>
  <si>
    <t>M115G56</t>
  </si>
  <si>
    <t>M115G57</t>
  </si>
  <si>
    <t>M115G58</t>
  </si>
  <si>
    <t>M115G59</t>
  </si>
  <si>
    <t>M115G60</t>
  </si>
  <si>
    <t>M115G61</t>
  </si>
  <si>
    <t>M115G62</t>
  </si>
  <si>
    <t>M115G63</t>
  </si>
  <si>
    <t>M115G64</t>
  </si>
  <si>
    <t>M115G65</t>
  </si>
  <si>
    <t>M115G66</t>
  </si>
  <si>
    <t>M115G67</t>
  </si>
  <si>
    <t>M115G68</t>
  </si>
  <si>
    <t>M115G69</t>
  </si>
  <si>
    <t>M115G70</t>
  </si>
  <si>
    <t>M115G71</t>
  </si>
  <si>
    <t>M214G0</t>
  </si>
  <si>
    <t>M214G1</t>
  </si>
  <si>
    <t>M214G2</t>
  </si>
  <si>
    <t>M214G3</t>
  </si>
  <si>
    <t>M214G4</t>
  </si>
  <si>
    <t>M214G5</t>
  </si>
  <si>
    <t>M214G6</t>
  </si>
  <si>
    <t>M214G7</t>
  </si>
  <si>
    <t>M214G8</t>
  </si>
  <si>
    <t>M214G9</t>
  </si>
  <si>
    <t>M214G10</t>
  </si>
  <si>
    <t>M214G11</t>
  </si>
  <si>
    <t>M214G12</t>
  </si>
  <si>
    <t>M214G13</t>
  </si>
  <si>
    <t>M214G14</t>
  </si>
  <si>
    <t>M214G15</t>
  </si>
  <si>
    <t>M214G16</t>
  </si>
  <si>
    <t>M214G17</t>
  </si>
  <si>
    <t>M214G18</t>
  </si>
  <si>
    <t>M214G19</t>
  </si>
  <si>
    <t>M214G20</t>
  </si>
  <si>
    <t>M214G21</t>
  </si>
  <si>
    <t>M214G22</t>
  </si>
  <si>
    <t>M214G23</t>
  </si>
  <si>
    <t>M214G24</t>
  </si>
  <si>
    <t>M214G25</t>
  </si>
  <si>
    <t>M214G26</t>
  </si>
  <si>
    <t>M214G27</t>
  </si>
  <si>
    <t>M214G28</t>
  </si>
  <si>
    <t>M214G29</t>
  </si>
  <si>
    <t>M214G30</t>
  </si>
  <si>
    <t>M214G31</t>
  </si>
  <si>
    <t>M214G32</t>
  </si>
  <si>
    <t>M214G33</t>
  </si>
  <si>
    <t>M216G0</t>
  </si>
  <si>
    <t>M216G1</t>
  </si>
  <si>
    <t>M216G2</t>
  </si>
  <si>
    <t>M216G3</t>
  </si>
  <si>
    <t>M216G4</t>
  </si>
  <si>
    <t>M216G5</t>
  </si>
  <si>
    <t>M216G6</t>
  </si>
  <si>
    <t>M216G7</t>
  </si>
  <si>
    <t>M216G8</t>
  </si>
  <si>
    <t>M216G9</t>
  </si>
  <si>
    <t>M216G10</t>
  </si>
  <si>
    <t>M216G11</t>
  </si>
  <si>
    <t>M216G12</t>
  </si>
  <si>
    <t>M216G13</t>
  </si>
  <si>
    <t>M216G14</t>
  </si>
  <si>
    <t>M216G15</t>
  </si>
  <si>
    <t>M216G16</t>
  </si>
  <si>
    <t>M216G17</t>
  </si>
  <si>
    <t>M216G18</t>
  </si>
  <si>
    <t>M216G19</t>
  </si>
  <si>
    <t>M216G20</t>
  </si>
  <si>
    <t>M216G21</t>
  </si>
  <si>
    <t>M216G22</t>
  </si>
  <si>
    <t>M216G23</t>
  </si>
  <si>
    <t>M216G24</t>
  </si>
  <si>
    <t>M216G25</t>
  </si>
  <si>
    <t>M216G26</t>
  </si>
  <si>
    <t>M216G27</t>
  </si>
  <si>
    <t>M216G29</t>
  </si>
  <si>
    <t>M216G30</t>
  </si>
  <si>
    <t>M216G31</t>
  </si>
  <si>
    <t>M216G32</t>
  </si>
  <si>
    <t>M216G33</t>
  </si>
  <si>
    <t>M216G34</t>
  </si>
  <si>
    <t>M216G35</t>
  </si>
  <si>
    <t>M216G36</t>
  </si>
  <si>
    <t>M216G37</t>
  </si>
  <si>
    <t>M216G38</t>
  </si>
  <si>
    <t>M215G0</t>
  </si>
  <si>
    <t>M215G1</t>
  </si>
  <si>
    <t>M215G2</t>
  </si>
  <si>
    <t>M215G3</t>
  </si>
  <si>
    <t>M215G4</t>
  </si>
  <si>
    <t>M215G5</t>
  </si>
  <si>
    <t>M215G6</t>
  </si>
  <si>
    <t>M3120</t>
  </si>
  <si>
    <t>M3121</t>
  </si>
  <si>
    <t>M3122</t>
  </si>
  <si>
    <t>M3123</t>
  </si>
  <si>
    <t>M3124</t>
  </si>
  <si>
    <t>M3125</t>
  </si>
  <si>
    <t>M3126</t>
  </si>
  <si>
    <t>M3127</t>
  </si>
  <si>
    <t>M3129</t>
  </si>
  <si>
    <t>M31210</t>
  </si>
  <si>
    <t>M31211</t>
  </si>
  <si>
    <t>M31212</t>
  </si>
  <si>
    <t>M31213</t>
  </si>
  <si>
    <t>M31214</t>
  </si>
  <si>
    <t>M31215</t>
  </si>
  <si>
    <t>M31216</t>
  </si>
  <si>
    <t>M31217</t>
  </si>
  <si>
    <t>M31218</t>
  </si>
  <si>
    <t>M31219</t>
  </si>
  <si>
    <t>M31220</t>
  </si>
  <si>
    <t>M31221</t>
  </si>
  <si>
    <t>M31222</t>
  </si>
  <si>
    <t>M31223</t>
  </si>
  <si>
    <t>M31224</t>
  </si>
  <si>
    <t>M31225</t>
  </si>
  <si>
    <t>M31226</t>
  </si>
  <si>
    <t>M31227</t>
  </si>
  <si>
    <t>M31228</t>
  </si>
  <si>
    <t>M31229</t>
  </si>
  <si>
    <t>M31230</t>
  </si>
  <si>
    <t>M31231</t>
  </si>
  <si>
    <t>M31232</t>
  </si>
  <si>
    <t>M31233</t>
  </si>
  <si>
    <t>M313 0</t>
  </si>
  <si>
    <t>M313 1</t>
  </si>
  <si>
    <t>M313 2</t>
  </si>
  <si>
    <t>M313 3</t>
  </si>
  <si>
    <t>M313 4</t>
  </si>
  <si>
    <t>M313 5</t>
  </si>
  <si>
    <t>M313 6</t>
  </si>
  <si>
    <t>M313 7</t>
  </si>
  <si>
    <t>M313 8</t>
  </si>
  <si>
    <t>M313 9</t>
  </si>
  <si>
    <t>M313 10</t>
  </si>
  <si>
    <t>M313 11</t>
  </si>
  <si>
    <t>M313 12</t>
  </si>
  <si>
    <t>M313 13</t>
  </si>
  <si>
    <t>M313 14</t>
  </si>
  <si>
    <t>M313 15</t>
  </si>
  <si>
    <t>M313 16</t>
  </si>
  <si>
    <t>M313 17</t>
  </si>
  <si>
    <t>M313 18</t>
  </si>
  <si>
    <t>M313 19</t>
  </si>
  <si>
    <t>M313 20</t>
  </si>
  <si>
    <t>M313 21</t>
  </si>
  <si>
    <t>M313 22</t>
  </si>
  <si>
    <t>M313 23</t>
  </si>
  <si>
    <t>M313 24</t>
  </si>
  <si>
    <t>M313 25</t>
  </si>
  <si>
    <t>M313 26</t>
  </si>
  <si>
    <t>M313 27</t>
  </si>
  <si>
    <t>M313 28</t>
  </si>
  <si>
    <t>M313 29</t>
  </si>
  <si>
    <t>M313 30</t>
  </si>
  <si>
    <t>M313 31</t>
  </si>
  <si>
    <t>M313 32</t>
  </si>
  <si>
    <t>M313 33</t>
  </si>
  <si>
    <t>M313 34</t>
  </si>
  <si>
    <t>M313 35</t>
  </si>
  <si>
    <t>M313 36</t>
  </si>
  <si>
    <t>M313 37</t>
  </si>
  <si>
    <t>M313 38</t>
  </si>
  <si>
    <t>M313 39</t>
  </si>
  <si>
    <t>M313 40</t>
  </si>
  <si>
    <t>M313 41</t>
  </si>
  <si>
    <t>M313 42</t>
  </si>
  <si>
    <t>M313 43</t>
  </si>
  <si>
    <t>M313 44</t>
  </si>
  <si>
    <t>M314 0</t>
  </si>
  <si>
    <t>M314 1</t>
  </si>
  <si>
    <t>M314 2</t>
  </si>
  <si>
    <t>M314 3</t>
  </si>
  <si>
    <t>M314 4</t>
  </si>
  <si>
    <t>M314 5</t>
  </si>
  <si>
    <t>M314 6</t>
  </si>
  <si>
    <t>M314 7</t>
  </si>
  <si>
    <t>M314 8</t>
  </si>
  <si>
    <t>M314 9</t>
  </si>
  <si>
    <t>M314 11</t>
  </si>
  <si>
    <t>M314 12</t>
  </si>
  <si>
    <t>M314 13</t>
  </si>
  <si>
    <t>M314 14</t>
  </si>
  <si>
    <t>M314 15</t>
  </si>
  <si>
    <t>M314 16</t>
  </si>
  <si>
    <t>M314 17</t>
  </si>
  <si>
    <t>M314 18</t>
  </si>
  <si>
    <t>M314 19</t>
  </si>
  <si>
    <t>M314 20</t>
  </si>
  <si>
    <t>M314 21</t>
  </si>
  <si>
    <t>M314 24</t>
  </si>
  <si>
    <t>M314 25</t>
  </si>
  <si>
    <t>M314 26</t>
  </si>
  <si>
    <t>M314 27</t>
  </si>
  <si>
    <t>M314 28</t>
  </si>
  <si>
    <t>M314 29</t>
  </si>
  <si>
    <t>M314 30</t>
  </si>
  <si>
    <t>M314 31</t>
  </si>
  <si>
    <t>M314 32</t>
  </si>
  <si>
    <t>M314 33</t>
  </si>
  <si>
    <t>M314 34</t>
  </si>
  <si>
    <t>M314 35</t>
  </si>
  <si>
    <t>M314 36</t>
  </si>
  <si>
    <t>M314 37</t>
  </si>
  <si>
    <t>M314 38</t>
  </si>
  <si>
    <t>exclude</t>
  </si>
  <si>
    <t>excluded</t>
  </si>
  <si>
    <t>Sample ID</t>
  </si>
  <si>
    <t>Plate</t>
  </si>
  <si>
    <t>number</t>
  </si>
  <si>
    <t>not done</t>
  </si>
  <si>
    <t>age</t>
  </si>
  <si>
    <t>infection</t>
  </si>
  <si>
    <t>infection intensity</t>
  </si>
  <si>
    <t>age_at_infection</t>
  </si>
  <si>
    <t>age_at_dissection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</si>
</sst>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92D05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1" xfId="0" applyFill="1" applyBorder="1"/>
    <xf numFmtId="0" fontId="0" fillId="5" borderId="0" xfId="0" applyFill="1" applyBorder="1"/>
    <xf numFmtId="0" fontId="0" fillId="3" borderId="1" xfId="0" applyFill="1" applyBorder="1"/>
    <xf numFmtId="0" fontId="0" fillId="3" borderId="0" xfId="0" applyFill="1" applyBorder="1"/>
    <xf numFmtId="0" fontId="0" fillId="7" borderId="0" xfId="0" applyFill="1"/>
    <xf numFmtId="0" fontId="0" fillId="7" borderId="0" xfId="0" applyFill="1" applyBorder="1"/>
    <xf numFmtId="0" fontId="0" fillId="8" borderId="0" xfId="0" applyFill="1"/>
    <xf numFmtId="0" fontId="0" fillId="8" borderId="0" xfId="0" applyFill="1" applyBorder="1"/>
    <xf numFmtId="0" fontId="0" fillId="9" borderId="1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 applyBorder="1"/>
    <xf numFmtId="0" fontId="0" fillId="15" borderId="0" xfId="0" applyFill="1" applyBorder="1"/>
    <xf numFmtId="0" fontId="0" fillId="16" borderId="0" xfId="0" applyFill="1"/>
    <xf numFmtId="0" fontId="0" fillId="16" borderId="0" xfId="0" applyFill="1" applyBorder="1"/>
    <xf numFmtId="0" fontId="0" fillId="6" borderId="0" xfId="0" applyFill="1"/>
    <xf numFmtId="0" fontId="0" fillId="6" borderId="0" xfId="0" applyFill="1" applyBorder="1"/>
    <xf numFmtId="0" fontId="0" fillId="4" borderId="0" xfId="0" applyFill="1" applyBorder="1"/>
    <xf numFmtId="0" fontId="0" fillId="14" borderId="0" xfId="0" applyFill="1"/>
    <xf numFmtId="0" fontId="0" fillId="14" borderId="0" xfId="0" applyFill="1" applyBorder="1"/>
    <xf numFmtId="0" fontId="0" fillId="17" borderId="0" xfId="0" applyFill="1"/>
    <xf numFmtId="0" fontId="0" fillId="17" borderId="0" xfId="0" applyFill="1" applyBorder="1"/>
    <xf numFmtId="0" fontId="0" fillId="18" borderId="0" xfId="0" applyFill="1"/>
    <xf numFmtId="0" fontId="0" fillId="18" borderId="0" xfId="0" applyFill="1" applyBorder="1"/>
    <xf numFmtId="0" fontId="0" fillId="11" borderId="0" xfId="0" applyFill="1" applyBorder="1"/>
    <xf numFmtId="0" fontId="0" fillId="10" borderId="0" xfId="0" applyFill="1" applyBorder="1"/>
    <xf numFmtId="0" fontId="0" fillId="12" borderId="0" xfId="0" applyFill="1" applyBorder="1"/>
    <xf numFmtId="0" fontId="0" fillId="0" borderId="0" xfId="0" applyAlignment="1">
      <alignment horizontal="right"/>
    </xf>
    <xf numFmtId="0" fontId="0" fillId="7" borderId="1" xfId="0" applyFill="1" applyBorder="1"/>
    <xf numFmtId="0" fontId="0" fillId="12" borderId="1" xfId="0" applyFill="1" applyBorder="1"/>
    <xf numFmtId="0" fontId="0" fillId="8" borderId="1" xfId="0" applyFill="1" applyBorder="1"/>
    <xf numFmtId="0" fontId="0" fillId="9" borderId="0" xfId="0" applyFill="1" applyBorder="1"/>
    <xf numFmtId="0" fontId="0" fillId="18" borderId="1" xfId="0" applyFill="1" applyBorder="1"/>
    <xf numFmtId="0" fontId="0" fillId="4" borderId="1" xfId="0" applyFill="1" applyBorder="1"/>
    <xf numFmtId="0" fontId="0" fillId="16" borderId="1" xfId="0" applyFill="1" applyBorder="1"/>
    <xf numFmtId="0" fontId="0" fillId="14" borderId="1" xfId="0" applyFill="1" applyBorder="1"/>
    <xf numFmtId="0" fontId="0" fillId="6" borderId="1" xfId="0" applyFill="1" applyBorder="1"/>
    <xf numFmtId="0" fontId="0" fillId="15" borderId="1" xfId="0" applyFill="1" applyBorder="1"/>
    <xf numFmtId="0" fontId="0" fillId="0" borderId="0" xfId="0" applyFill="1"/>
    <xf numFmtId="0" fontId="0" fillId="13" borderId="1" xfId="0" applyFill="1" applyBorder="1"/>
    <xf numFmtId="0" fontId="0" fillId="0" borderId="0" xfId="0" applyFill="1" applyBorder="1"/>
    <xf numFmtId="0" fontId="0" fillId="0" borderId="1" xfId="0" applyFill="1" applyBorder="1"/>
    <xf numFmtId="0" fontId="0" fillId="0" borderId="0" xfId="0" applyFill="1" applyAlignment="1">
      <alignment horizontal="right"/>
    </xf>
    <xf numFmtId="0" fontId="0" fillId="19" borderId="0" xfId="0" applyFill="1" applyBorder="1"/>
    <xf numFmtId="0" fontId="5" fillId="0" borderId="0" xfId="0" applyFo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9" fontId="0" fillId="0" borderId="0" xfId="0" applyNumberFormat="1" applyFill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B210"/>
  <sheetViews>
    <sheetView workbookViewId="0">
      <pane xSplit="3" ySplit="1" topLeftCell="D27" activePane="bottomRight" state="frozen"/>
      <selection pane="topRight" activeCell="D1" sqref="D1"/>
      <selection pane="bottomLeft" activeCell="A2" sqref="A2"/>
      <selection pane="bottomRight" activeCell="J37" sqref="J37"/>
    </sheetView>
  </sheetViews>
  <sheetFormatPr baseColWidth="10" defaultColWidth="8.83203125" defaultRowHeight="15" x14ac:dyDescent="0.2"/>
  <cols>
    <col min="4" max="4" width="14.6640625" bestFit="1" customWidth="1"/>
    <col min="5" max="5" width="14.6640625" style="44" customWidth="1"/>
    <col min="6" max="6" width="18" customWidth="1"/>
    <col min="7" max="7" width="12.1640625" style="33" bestFit="1" customWidth="1"/>
    <col min="13" max="13" width="8.83203125" style="44"/>
  </cols>
  <sheetData>
    <row r="1" spans="3:28" x14ac:dyDescent="0.2">
      <c r="C1" t="s">
        <v>417</v>
      </c>
      <c r="D1" t="s">
        <v>416</v>
      </c>
      <c r="E1" s="44" t="s">
        <v>420</v>
      </c>
      <c r="F1" t="s">
        <v>0</v>
      </c>
      <c r="G1" s="33" t="s">
        <v>1</v>
      </c>
      <c r="H1" t="s">
        <v>418</v>
      </c>
      <c r="K1" t="s">
        <v>417</v>
      </c>
      <c r="L1" t="s">
        <v>416</v>
      </c>
      <c r="M1" s="44" t="s">
        <v>420</v>
      </c>
      <c r="N1" t="s">
        <v>0</v>
      </c>
      <c r="O1" s="33" t="s">
        <v>1</v>
      </c>
      <c r="P1" t="s">
        <v>418</v>
      </c>
      <c r="U1" t="s">
        <v>415</v>
      </c>
      <c r="AA1" t="s">
        <v>419</v>
      </c>
    </row>
    <row r="2" spans="3:28" x14ac:dyDescent="0.2">
      <c r="C2" s="1"/>
      <c r="D2" s="4" t="s">
        <v>2</v>
      </c>
      <c r="E2" s="46">
        <v>3</v>
      </c>
      <c r="F2">
        <v>1</v>
      </c>
      <c r="G2" s="33">
        <v>0</v>
      </c>
      <c r="H2">
        <v>1</v>
      </c>
      <c r="K2" s="10"/>
      <c r="L2" s="11" t="s">
        <v>106</v>
      </c>
      <c r="M2" s="46">
        <v>4</v>
      </c>
      <c r="N2">
        <v>2</v>
      </c>
      <c r="O2" s="33">
        <v>600</v>
      </c>
      <c r="P2">
        <v>1</v>
      </c>
      <c r="T2" s="1"/>
      <c r="U2" s="5" t="s">
        <v>5</v>
      </c>
      <c r="V2">
        <v>3</v>
      </c>
      <c r="W2" s="33"/>
      <c r="X2" t="s">
        <v>414</v>
      </c>
      <c r="Y2">
        <v>1</v>
      </c>
      <c r="AA2" s="2"/>
      <c r="AB2" s="7" t="s">
        <v>61</v>
      </c>
    </row>
    <row r="3" spans="3:28" x14ac:dyDescent="0.2">
      <c r="C3" s="1"/>
      <c r="D3" s="5" t="s">
        <v>14</v>
      </c>
      <c r="E3" s="46">
        <v>3</v>
      </c>
      <c r="F3">
        <v>1</v>
      </c>
      <c r="G3" s="33">
        <v>0</v>
      </c>
      <c r="H3">
        <v>2</v>
      </c>
      <c r="K3" s="1"/>
      <c r="L3" s="4" t="s">
        <v>8</v>
      </c>
      <c r="M3" s="46">
        <v>3</v>
      </c>
      <c r="N3">
        <v>2</v>
      </c>
      <c r="O3" s="33">
        <v>3160</v>
      </c>
      <c r="P3">
        <v>2</v>
      </c>
      <c r="T3" s="1"/>
      <c r="U3" s="5" t="s">
        <v>29</v>
      </c>
      <c r="V3">
        <v>3</v>
      </c>
      <c r="W3" s="33"/>
      <c r="X3" t="s">
        <v>414</v>
      </c>
      <c r="Y3">
        <v>2</v>
      </c>
      <c r="AA3" s="2"/>
      <c r="AB3" s="7" t="s">
        <v>62</v>
      </c>
    </row>
    <row r="4" spans="3:28" x14ac:dyDescent="0.2">
      <c r="C4" s="1"/>
      <c r="D4" s="4" t="s">
        <v>20</v>
      </c>
      <c r="E4" s="46">
        <v>3</v>
      </c>
      <c r="F4">
        <v>1</v>
      </c>
      <c r="G4" s="33">
        <v>0</v>
      </c>
      <c r="H4">
        <v>3</v>
      </c>
      <c r="K4" s="1"/>
      <c r="L4" s="4" t="s">
        <v>26</v>
      </c>
      <c r="M4" s="46">
        <v>3</v>
      </c>
      <c r="N4">
        <v>2</v>
      </c>
      <c r="O4" s="33">
        <v>3420</v>
      </c>
      <c r="P4">
        <v>3</v>
      </c>
      <c r="T4" s="1"/>
      <c r="U4" s="5" t="s">
        <v>18</v>
      </c>
      <c r="V4">
        <v>3</v>
      </c>
      <c r="W4" s="33"/>
      <c r="X4" t="s">
        <v>414</v>
      </c>
      <c r="Y4">
        <v>3</v>
      </c>
      <c r="AA4" s="10"/>
      <c r="AB4" s="11" t="s">
        <v>203</v>
      </c>
    </row>
    <row r="5" spans="3:28" x14ac:dyDescent="0.2">
      <c r="C5" s="1"/>
      <c r="D5" s="5" t="s">
        <v>3</v>
      </c>
      <c r="E5" s="46">
        <v>3</v>
      </c>
      <c r="F5">
        <v>1</v>
      </c>
      <c r="G5" s="33">
        <v>0</v>
      </c>
      <c r="H5">
        <v>4</v>
      </c>
      <c r="K5" s="1"/>
      <c r="L5" s="4" t="s">
        <v>32</v>
      </c>
      <c r="M5" s="46">
        <v>3</v>
      </c>
      <c r="N5">
        <v>2</v>
      </c>
      <c r="O5" s="33">
        <v>944</v>
      </c>
      <c r="P5">
        <v>4</v>
      </c>
      <c r="T5" s="1"/>
      <c r="U5" s="5" t="s">
        <v>40</v>
      </c>
      <c r="V5">
        <v>3</v>
      </c>
      <c r="W5" s="33"/>
      <c r="X5" t="s">
        <v>414</v>
      </c>
      <c r="Y5">
        <v>4</v>
      </c>
      <c r="AA5" s="10"/>
      <c r="AB5" s="11" t="s">
        <v>204</v>
      </c>
    </row>
    <row r="6" spans="3:28" x14ac:dyDescent="0.2">
      <c r="C6" s="1"/>
      <c r="D6" s="4" t="s">
        <v>21</v>
      </c>
      <c r="E6" s="46">
        <v>3</v>
      </c>
      <c r="F6">
        <v>1</v>
      </c>
      <c r="G6" s="33">
        <v>0</v>
      </c>
      <c r="H6">
        <v>5</v>
      </c>
      <c r="K6" s="1"/>
      <c r="L6" s="5" t="s">
        <v>9</v>
      </c>
      <c r="M6" s="46">
        <v>3</v>
      </c>
      <c r="N6">
        <v>2</v>
      </c>
      <c r="O6" s="33">
        <v>1963</v>
      </c>
      <c r="P6">
        <v>5</v>
      </c>
      <c r="T6" s="2"/>
      <c r="U6" s="7" t="s">
        <v>64</v>
      </c>
      <c r="V6">
        <v>3</v>
      </c>
      <c r="W6" s="33"/>
      <c r="X6" t="s">
        <v>414</v>
      </c>
      <c r="Y6">
        <v>5</v>
      </c>
      <c r="AA6" s="10"/>
      <c r="AB6" s="11" t="s">
        <v>205</v>
      </c>
    </row>
    <row r="7" spans="3:28" x14ac:dyDescent="0.2">
      <c r="C7" s="1"/>
      <c r="D7" s="5" t="s">
        <v>16</v>
      </c>
      <c r="E7" s="46">
        <v>3</v>
      </c>
      <c r="F7">
        <v>1</v>
      </c>
      <c r="G7" s="33">
        <v>0</v>
      </c>
      <c r="H7">
        <v>6</v>
      </c>
      <c r="K7" s="1"/>
      <c r="L7" s="4" t="s">
        <v>15</v>
      </c>
      <c r="M7" s="46">
        <v>3</v>
      </c>
      <c r="N7">
        <v>2</v>
      </c>
      <c r="O7" s="33">
        <v>278</v>
      </c>
      <c r="P7">
        <v>6</v>
      </c>
      <c r="T7" s="2"/>
      <c r="U7" s="7" t="s">
        <v>65</v>
      </c>
      <c r="V7">
        <v>3</v>
      </c>
      <c r="W7" s="33"/>
      <c r="X7" t="s">
        <v>414</v>
      </c>
      <c r="Y7">
        <v>6</v>
      </c>
      <c r="AA7" s="10"/>
      <c r="AB7" s="11" t="s">
        <v>206</v>
      </c>
    </row>
    <row r="8" spans="3:28" x14ac:dyDescent="0.2">
      <c r="C8" s="1"/>
      <c r="D8" s="4" t="s">
        <v>27</v>
      </c>
      <c r="E8" s="46">
        <v>3</v>
      </c>
      <c r="F8">
        <v>1</v>
      </c>
      <c r="G8" s="33">
        <v>0</v>
      </c>
      <c r="H8">
        <v>7</v>
      </c>
      <c r="K8" s="1"/>
      <c r="L8" s="4" t="s">
        <v>10</v>
      </c>
      <c r="M8" s="46">
        <v>3</v>
      </c>
      <c r="N8">
        <v>2</v>
      </c>
      <c r="O8" s="33">
        <v>178</v>
      </c>
      <c r="P8">
        <v>7</v>
      </c>
      <c r="T8" s="2"/>
      <c r="U8" s="7" t="s">
        <v>69</v>
      </c>
      <c r="V8">
        <v>3</v>
      </c>
      <c r="W8" s="33"/>
      <c r="X8" t="s">
        <v>414</v>
      </c>
      <c r="Y8">
        <v>7</v>
      </c>
      <c r="AA8" s="10"/>
      <c r="AB8" s="11" t="s">
        <v>207</v>
      </c>
    </row>
    <row r="9" spans="3:28" x14ac:dyDescent="0.2">
      <c r="C9" s="1"/>
      <c r="D9" s="5" t="s">
        <v>33</v>
      </c>
      <c r="E9" s="46">
        <v>3</v>
      </c>
      <c r="F9">
        <v>1</v>
      </c>
      <c r="G9" s="33">
        <v>0</v>
      </c>
      <c r="H9">
        <v>8</v>
      </c>
      <c r="K9" s="1"/>
      <c r="L9" s="5" t="s">
        <v>4</v>
      </c>
      <c r="M9" s="46">
        <v>3</v>
      </c>
      <c r="N9">
        <v>2</v>
      </c>
      <c r="O9" s="33">
        <v>1491</v>
      </c>
      <c r="P9">
        <v>8</v>
      </c>
      <c r="T9" s="2"/>
      <c r="U9" s="7" t="s">
        <v>70</v>
      </c>
      <c r="V9">
        <v>3</v>
      </c>
      <c r="W9" s="33"/>
      <c r="X9" t="s">
        <v>414</v>
      </c>
      <c r="Y9">
        <v>8</v>
      </c>
      <c r="AA9" s="10"/>
      <c r="AB9" s="11" t="s">
        <v>208</v>
      </c>
    </row>
    <row r="10" spans="3:28" x14ac:dyDescent="0.2">
      <c r="C10" s="1"/>
      <c r="D10" s="4" t="s">
        <v>11</v>
      </c>
      <c r="E10" s="46">
        <v>3</v>
      </c>
      <c r="F10">
        <v>1</v>
      </c>
      <c r="G10" s="33">
        <v>0</v>
      </c>
      <c r="H10">
        <v>9</v>
      </c>
      <c r="K10" s="1"/>
      <c r="L10" s="5" t="s">
        <v>22</v>
      </c>
      <c r="M10" s="46">
        <v>3</v>
      </c>
      <c r="N10">
        <v>2</v>
      </c>
      <c r="O10" s="33">
        <v>353</v>
      </c>
      <c r="P10">
        <v>9</v>
      </c>
      <c r="T10" s="2"/>
      <c r="U10" s="7" t="s">
        <v>71</v>
      </c>
      <c r="V10">
        <v>3</v>
      </c>
      <c r="W10" s="33"/>
      <c r="X10" t="s">
        <v>414</v>
      </c>
      <c r="Y10">
        <v>9</v>
      </c>
      <c r="AA10" s="10"/>
      <c r="AB10" s="11" t="s">
        <v>209</v>
      </c>
    </row>
    <row r="11" spans="3:28" x14ac:dyDescent="0.2">
      <c r="C11" s="1"/>
      <c r="D11" s="5" t="s">
        <v>17</v>
      </c>
      <c r="E11" s="46">
        <v>3</v>
      </c>
      <c r="F11">
        <v>1</v>
      </c>
      <c r="G11" s="33">
        <v>0</v>
      </c>
      <c r="H11">
        <v>10</v>
      </c>
      <c r="K11" s="1"/>
      <c r="L11" s="5" t="s">
        <v>28</v>
      </c>
      <c r="M11" s="46">
        <v>3</v>
      </c>
      <c r="N11">
        <v>2</v>
      </c>
      <c r="O11" s="33">
        <v>265</v>
      </c>
      <c r="P11">
        <v>10</v>
      </c>
      <c r="T11" s="2"/>
      <c r="U11" s="7" t="s">
        <v>73</v>
      </c>
      <c r="V11">
        <v>3</v>
      </c>
      <c r="W11" s="33"/>
      <c r="X11" t="s">
        <v>414</v>
      </c>
      <c r="Y11">
        <v>10</v>
      </c>
      <c r="AA11" s="10"/>
      <c r="AB11" s="11" t="s">
        <v>210</v>
      </c>
    </row>
    <row r="12" spans="3:28" x14ac:dyDescent="0.2">
      <c r="C12" s="1"/>
      <c r="D12" s="4" t="s">
        <v>12</v>
      </c>
      <c r="E12" s="46">
        <v>3</v>
      </c>
      <c r="F12">
        <v>1</v>
      </c>
      <c r="G12" s="33">
        <v>0</v>
      </c>
      <c r="H12">
        <v>11</v>
      </c>
      <c r="K12" s="1"/>
      <c r="L12" s="5" t="s">
        <v>34</v>
      </c>
      <c r="M12" s="46">
        <v>3</v>
      </c>
      <c r="N12">
        <v>2</v>
      </c>
      <c r="O12" s="33">
        <v>526</v>
      </c>
      <c r="P12">
        <v>11</v>
      </c>
      <c r="T12" s="2"/>
      <c r="U12" s="7" t="s">
        <v>74</v>
      </c>
      <c r="V12">
        <v>3</v>
      </c>
      <c r="W12" s="33"/>
      <c r="X12" t="s">
        <v>414</v>
      </c>
      <c r="Y12">
        <v>11</v>
      </c>
      <c r="AA12" s="10"/>
      <c r="AB12" s="11" t="s">
        <v>211</v>
      </c>
    </row>
    <row r="13" spans="3:28" x14ac:dyDescent="0.2">
      <c r="C13" s="1"/>
      <c r="D13" s="5" t="s">
        <v>30</v>
      </c>
      <c r="E13" s="46">
        <v>3</v>
      </c>
      <c r="F13">
        <v>1</v>
      </c>
      <c r="G13" s="33">
        <v>0</v>
      </c>
      <c r="H13">
        <v>12</v>
      </c>
      <c r="K13" s="1"/>
      <c r="L13" s="5" t="s">
        <v>23</v>
      </c>
      <c r="M13" s="46">
        <v>3</v>
      </c>
      <c r="N13">
        <v>2</v>
      </c>
      <c r="O13" s="33">
        <v>845</v>
      </c>
      <c r="P13">
        <v>12</v>
      </c>
      <c r="T13" s="2"/>
      <c r="U13" s="7" t="s">
        <v>77</v>
      </c>
      <c r="V13">
        <v>3</v>
      </c>
      <c r="W13" s="33"/>
      <c r="X13" t="s">
        <v>414</v>
      </c>
      <c r="Y13">
        <v>12</v>
      </c>
      <c r="AA13" s="10"/>
      <c r="AB13" s="11" t="s">
        <v>212</v>
      </c>
    </row>
    <row r="14" spans="3:28" x14ac:dyDescent="0.2">
      <c r="C14" s="2"/>
      <c r="D14" s="6" t="s">
        <v>80</v>
      </c>
      <c r="E14" s="46">
        <v>4</v>
      </c>
      <c r="F14">
        <v>1</v>
      </c>
      <c r="G14" s="33">
        <v>0</v>
      </c>
      <c r="H14">
        <v>13</v>
      </c>
      <c r="K14" s="1"/>
      <c r="L14" s="5" t="s">
        <v>35</v>
      </c>
      <c r="M14" s="46">
        <v>3</v>
      </c>
      <c r="N14">
        <v>2</v>
      </c>
      <c r="O14" s="33">
        <v>512</v>
      </c>
      <c r="P14">
        <v>13</v>
      </c>
      <c r="T14" s="2"/>
      <c r="U14" s="7" t="s">
        <v>79</v>
      </c>
      <c r="V14">
        <v>3</v>
      </c>
      <c r="W14" s="33"/>
      <c r="X14" t="s">
        <v>414</v>
      </c>
      <c r="Y14">
        <v>13</v>
      </c>
      <c r="AA14" s="10"/>
      <c r="AB14" s="11" t="s">
        <v>213</v>
      </c>
    </row>
    <row r="15" spans="3:28" x14ac:dyDescent="0.2">
      <c r="C15" s="2"/>
      <c r="D15" s="7" t="s">
        <v>85</v>
      </c>
      <c r="E15" s="46">
        <v>4</v>
      </c>
      <c r="F15">
        <v>1</v>
      </c>
      <c r="G15" s="33">
        <v>0</v>
      </c>
      <c r="H15">
        <v>14</v>
      </c>
      <c r="K15" s="1"/>
      <c r="L15" s="5" t="s">
        <v>6</v>
      </c>
      <c r="M15" s="46">
        <v>3</v>
      </c>
      <c r="N15">
        <v>2</v>
      </c>
      <c r="O15" s="33">
        <v>29</v>
      </c>
      <c r="P15">
        <v>14</v>
      </c>
      <c r="T15" s="2"/>
      <c r="U15" s="7" t="s">
        <v>81</v>
      </c>
      <c r="V15">
        <v>3</v>
      </c>
      <c r="W15" s="33"/>
      <c r="X15" t="s">
        <v>414</v>
      </c>
      <c r="Y15">
        <v>14</v>
      </c>
      <c r="AA15" s="10"/>
      <c r="AB15" s="11" t="s">
        <v>214</v>
      </c>
    </row>
    <row r="16" spans="3:28" x14ac:dyDescent="0.2">
      <c r="C16" s="2"/>
      <c r="D16" s="6" t="s">
        <v>86</v>
      </c>
      <c r="E16" s="46">
        <v>4</v>
      </c>
      <c r="F16">
        <v>1</v>
      </c>
      <c r="G16" s="33">
        <v>0</v>
      </c>
      <c r="H16">
        <v>15</v>
      </c>
      <c r="K16" s="1"/>
      <c r="L16" s="5" t="s">
        <v>24</v>
      </c>
      <c r="M16" s="46">
        <v>3</v>
      </c>
      <c r="N16">
        <v>2</v>
      </c>
      <c r="O16" s="33">
        <v>178</v>
      </c>
      <c r="P16">
        <v>15</v>
      </c>
      <c r="T16" s="2"/>
      <c r="U16" s="7" t="s">
        <v>82</v>
      </c>
      <c r="V16">
        <v>3</v>
      </c>
      <c r="W16" s="33"/>
      <c r="X16" t="s">
        <v>414</v>
      </c>
      <c r="Y16">
        <v>15</v>
      </c>
      <c r="AA16" s="10"/>
      <c r="AB16" s="11" t="s">
        <v>215</v>
      </c>
    </row>
    <row r="17" spans="3:28" x14ac:dyDescent="0.2">
      <c r="C17" s="2"/>
      <c r="D17" s="7" t="s">
        <v>87</v>
      </c>
      <c r="E17" s="46">
        <v>4</v>
      </c>
      <c r="F17">
        <v>1</v>
      </c>
      <c r="G17" s="33">
        <v>0</v>
      </c>
      <c r="H17">
        <v>16</v>
      </c>
      <c r="K17" s="1"/>
      <c r="L17" s="5" t="s">
        <v>36</v>
      </c>
      <c r="M17" s="46">
        <v>3</v>
      </c>
      <c r="N17">
        <v>2</v>
      </c>
      <c r="O17" s="33">
        <v>678</v>
      </c>
      <c r="P17">
        <v>16</v>
      </c>
      <c r="T17" s="2"/>
      <c r="U17" s="7" t="s">
        <v>83</v>
      </c>
      <c r="V17">
        <v>3</v>
      </c>
      <c r="W17" s="33"/>
      <c r="X17" t="s">
        <v>414</v>
      </c>
      <c r="Y17">
        <v>16</v>
      </c>
      <c r="AA17" s="10"/>
      <c r="AB17" s="11" t="s">
        <v>216</v>
      </c>
    </row>
    <row r="18" spans="3:28" x14ac:dyDescent="0.2">
      <c r="C18" s="2"/>
      <c r="D18" s="6" t="s">
        <v>91</v>
      </c>
      <c r="E18" s="46">
        <v>4</v>
      </c>
      <c r="F18">
        <v>1</v>
      </c>
      <c r="G18" s="33">
        <v>0</v>
      </c>
      <c r="H18">
        <v>17</v>
      </c>
      <c r="K18" s="1"/>
      <c r="L18" s="5" t="s">
        <v>7</v>
      </c>
      <c r="M18" s="46">
        <v>3</v>
      </c>
      <c r="N18">
        <v>2</v>
      </c>
      <c r="O18" s="33">
        <v>115</v>
      </c>
      <c r="P18">
        <v>17</v>
      </c>
      <c r="T18" s="2"/>
      <c r="U18" s="7" t="s">
        <v>84</v>
      </c>
      <c r="V18">
        <v>3</v>
      </c>
      <c r="W18" s="33"/>
      <c r="X18" t="s">
        <v>414</v>
      </c>
      <c r="Y18">
        <v>17</v>
      </c>
      <c r="AA18" s="10"/>
      <c r="AB18" s="11" t="s">
        <v>217</v>
      </c>
    </row>
    <row r="19" spans="3:28" x14ac:dyDescent="0.2">
      <c r="C19" s="2"/>
      <c r="D19" s="7" t="s">
        <v>92</v>
      </c>
      <c r="E19" s="46">
        <v>4</v>
      </c>
      <c r="F19">
        <v>1</v>
      </c>
      <c r="G19" s="33">
        <v>0</v>
      </c>
      <c r="H19">
        <v>18</v>
      </c>
      <c r="K19" s="1"/>
      <c r="L19" s="5" t="s">
        <v>13</v>
      </c>
      <c r="M19" s="46">
        <v>3</v>
      </c>
      <c r="N19">
        <v>2</v>
      </c>
      <c r="O19" s="33">
        <v>281</v>
      </c>
      <c r="P19">
        <v>18</v>
      </c>
      <c r="T19" s="2"/>
      <c r="U19" s="7" t="s">
        <v>88</v>
      </c>
      <c r="V19">
        <v>3</v>
      </c>
      <c r="W19" s="33"/>
      <c r="X19" t="s">
        <v>414</v>
      </c>
      <c r="Y19">
        <v>18</v>
      </c>
      <c r="AA19" s="10"/>
      <c r="AB19" s="11" t="s">
        <v>218</v>
      </c>
    </row>
    <row r="20" spans="3:28" x14ac:dyDescent="0.2">
      <c r="C20" s="2"/>
      <c r="D20" s="6" t="s">
        <v>93</v>
      </c>
      <c r="E20" s="46">
        <v>4</v>
      </c>
      <c r="F20">
        <v>1</v>
      </c>
      <c r="G20" s="33">
        <v>0</v>
      </c>
      <c r="H20">
        <v>19</v>
      </c>
      <c r="K20" s="1"/>
      <c r="L20" s="5" t="s">
        <v>19</v>
      </c>
      <c r="M20" s="46">
        <v>3</v>
      </c>
      <c r="N20">
        <v>2</v>
      </c>
      <c r="O20" s="33">
        <v>759</v>
      </c>
      <c r="P20">
        <v>19</v>
      </c>
      <c r="T20" s="2"/>
      <c r="U20" s="7" t="s">
        <v>94</v>
      </c>
      <c r="V20">
        <v>3</v>
      </c>
      <c r="W20" s="33"/>
      <c r="X20" t="s">
        <v>414</v>
      </c>
      <c r="Y20">
        <v>19</v>
      </c>
      <c r="AA20" s="10"/>
      <c r="AB20" s="11" t="s">
        <v>219</v>
      </c>
    </row>
    <row r="21" spans="3:28" x14ac:dyDescent="0.2">
      <c r="C21" s="2"/>
      <c r="D21" s="7" t="s">
        <v>99</v>
      </c>
      <c r="E21" s="46">
        <v>4</v>
      </c>
      <c r="F21">
        <v>1</v>
      </c>
      <c r="G21" s="33">
        <v>0</v>
      </c>
      <c r="H21">
        <v>20</v>
      </c>
      <c r="K21" s="1"/>
      <c r="L21" s="5" t="s">
        <v>25</v>
      </c>
      <c r="M21" s="46">
        <v>3</v>
      </c>
      <c r="N21">
        <v>2</v>
      </c>
      <c r="O21" s="33">
        <v>667</v>
      </c>
      <c r="P21">
        <v>20</v>
      </c>
      <c r="T21" s="2"/>
      <c r="U21" s="7" t="s">
        <v>97</v>
      </c>
      <c r="V21">
        <v>3</v>
      </c>
      <c r="W21" s="33"/>
      <c r="X21" t="s">
        <v>414</v>
      </c>
      <c r="Y21">
        <v>20</v>
      </c>
      <c r="AA21" s="10"/>
      <c r="AB21" s="11" t="s">
        <v>220</v>
      </c>
    </row>
    <row r="22" spans="3:28" x14ac:dyDescent="0.2">
      <c r="C22" s="10"/>
      <c r="D22" s="36" t="s">
        <v>112</v>
      </c>
      <c r="E22" s="46">
        <v>5</v>
      </c>
      <c r="F22">
        <v>1</v>
      </c>
      <c r="G22" s="33">
        <v>0</v>
      </c>
      <c r="H22">
        <v>21</v>
      </c>
      <c r="K22" s="1"/>
      <c r="L22" s="5" t="s">
        <v>31</v>
      </c>
      <c r="M22" s="46">
        <v>3</v>
      </c>
      <c r="N22">
        <v>2</v>
      </c>
      <c r="O22" s="33">
        <v>477</v>
      </c>
      <c r="P22">
        <v>21</v>
      </c>
      <c r="T22" s="2"/>
      <c r="U22" s="7" t="s">
        <v>98</v>
      </c>
      <c r="V22">
        <v>3</v>
      </c>
      <c r="W22" s="33"/>
      <c r="X22" t="s">
        <v>414</v>
      </c>
      <c r="Y22">
        <v>21</v>
      </c>
      <c r="AA22" s="17"/>
      <c r="AB22" s="17" t="s">
        <v>170</v>
      </c>
    </row>
    <row r="23" spans="3:28" x14ac:dyDescent="0.2">
      <c r="C23" s="10"/>
      <c r="D23" s="11" t="s">
        <v>113</v>
      </c>
      <c r="E23" s="46">
        <v>5</v>
      </c>
      <c r="F23">
        <v>1</v>
      </c>
      <c r="G23" s="33">
        <v>0</v>
      </c>
      <c r="H23">
        <v>22</v>
      </c>
      <c r="K23" s="1"/>
      <c r="L23" s="5" t="s">
        <v>37</v>
      </c>
      <c r="M23" s="46">
        <v>3</v>
      </c>
      <c r="N23">
        <v>2</v>
      </c>
      <c r="O23" s="33">
        <v>421</v>
      </c>
      <c r="P23">
        <v>22</v>
      </c>
      <c r="T23" s="2"/>
      <c r="U23" s="7" t="s">
        <v>101</v>
      </c>
      <c r="V23">
        <v>3</v>
      </c>
      <c r="W23" s="33"/>
      <c r="X23" t="s">
        <v>414</v>
      </c>
      <c r="Y23">
        <v>22</v>
      </c>
      <c r="AA23" s="17"/>
      <c r="AB23" s="17" t="s">
        <v>171</v>
      </c>
    </row>
    <row r="24" spans="3:28" x14ac:dyDescent="0.2">
      <c r="C24" s="10"/>
      <c r="D24" s="36" t="s">
        <v>133</v>
      </c>
      <c r="E24" s="46">
        <v>5</v>
      </c>
      <c r="F24">
        <v>1</v>
      </c>
      <c r="G24" s="33">
        <v>0</v>
      </c>
      <c r="H24">
        <v>23</v>
      </c>
      <c r="K24" s="1"/>
      <c r="L24" s="5" t="s">
        <v>38</v>
      </c>
      <c r="M24" s="46">
        <v>3</v>
      </c>
      <c r="N24">
        <v>2</v>
      </c>
      <c r="O24" s="33">
        <v>629</v>
      </c>
      <c r="P24">
        <v>23</v>
      </c>
      <c r="T24" s="10"/>
      <c r="U24" s="11" t="s">
        <v>59</v>
      </c>
      <c r="V24">
        <v>3</v>
      </c>
      <c r="W24" s="33"/>
      <c r="X24" t="s">
        <v>414</v>
      </c>
      <c r="Y24">
        <v>23</v>
      </c>
      <c r="AA24" s="17"/>
      <c r="AB24" s="17" t="s">
        <v>172</v>
      </c>
    </row>
    <row r="25" spans="3:28" x14ac:dyDescent="0.2">
      <c r="C25" s="10"/>
      <c r="D25" s="11" t="s">
        <v>135</v>
      </c>
      <c r="E25" s="46">
        <v>5</v>
      </c>
      <c r="F25">
        <v>1</v>
      </c>
      <c r="G25" s="33">
        <v>0</v>
      </c>
      <c r="H25">
        <v>24</v>
      </c>
      <c r="K25" s="1"/>
      <c r="L25" s="5" t="s">
        <v>39</v>
      </c>
      <c r="M25" s="46">
        <v>3</v>
      </c>
      <c r="N25">
        <v>2</v>
      </c>
      <c r="O25" s="33">
        <v>757</v>
      </c>
      <c r="P25">
        <v>24</v>
      </c>
      <c r="T25" s="10"/>
      <c r="U25" s="11" t="s">
        <v>107</v>
      </c>
      <c r="V25">
        <v>3</v>
      </c>
      <c r="W25" s="33"/>
      <c r="X25" t="s">
        <v>414</v>
      </c>
      <c r="Y25">
        <v>24</v>
      </c>
      <c r="AA25" s="3"/>
      <c r="AB25" s="23" t="s">
        <v>191</v>
      </c>
    </row>
    <row r="26" spans="3:28" x14ac:dyDescent="0.2">
      <c r="C26" s="10"/>
      <c r="D26" s="36" t="s">
        <v>137</v>
      </c>
      <c r="E26" s="46">
        <v>5</v>
      </c>
      <c r="F26">
        <v>1</v>
      </c>
      <c r="G26" s="33">
        <v>0</v>
      </c>
      <c r="H26">
        <v>25</v>
      </c>
      <c r="K26" s="1"/>
      <c r="L26" s="5" t="s">
        <v>41</v>
      </c>
      <c r="M26" s="46">
        <v>3</v>
      </c>
      <c r="N26">
        <v>2</v>
      </c>
      <c r="O26" s="33">
        <v>452</v>
      </c>
      <c r="P26">
        <v>25</v>
      </c>
      <c r="T26" s="10"/>
      <c r="U26" s="11" t="s">
        <v>108</v>
      </c>
      <c r="V26">
        <v>3</v>
      </c>
      <c r="W26" s="33"/>
      <c r="X26" t="s">
        <v>414</v>
      </c>
      <c r="Y26">
        <v>25</v>
      </c>
      <c r="AA26" s="3"/>
      <c r="AB26" s="23" t="s">
        <v>192</v>
      </c>
    </row>
    <row r="27" spans="3:28" x14ac:dyDescent="0.2">
      <c r="C27" s="10"/>
      <c r="D27" s="11" t="s">
        <v>138</v>
      </c>
      <c r="E27" s="46">
        <v>5</v>
      </c>
      <c r="F27">
        <v>1</v>
      </c>
      <c r="G27" s="33">
        <v>0</v>
      </c>
      <c r="H27">
        <v>26</v>
      </c>
      <c r="K27" s="1"/>
      <c r="L27" s="5" t="s">
        <v>42</v>
      </c>
      <c r="M27" s="46">
        <v>3</v>
      </c>
      <c r="N27">
        <v>2</v>
      </c>
      <c r="O27" s="33">
        <v>871</v>
      </c>
      <c r="P27">
        <v>26</v>
      </c>
      <c r="T27" s="10"/>
      <c r="U27" s="11" t="s">
        <v>109</v>
      </c>
      <c r="V27">
        <v>3</v>
      </c>
      <c r="W27" s="33"/>
      <c r="X27" t="s">
        <v>414</v>
      </c>
      <c r="Y27">
        <v>26</v>
      </c>
      <c r="AA27" s="3"/>
      <c r="AB27" s="23" t="s">
        <v>193</v>
      </c>
    </row>
    <row r="28" spans="3:28" x14ac:dyDescent="0.2">
      <c r="C28" s="14"/>
      <c r="D28" s="12" t="s">
        <v>147</v>
      </c>
      <c r="E28" s="46">
        <v>5</v>
      </c>
      <c r="F28">
        <v>1</v>
      </c>
      <c r="G28" s="33">
        <v>0</v>
      </c>
      <c r="H28">
        <v>27</v>
      </c>
      <c r="K28" s="2"/>
      <c r="L28" s="7" t="s">
        <v>43</v>
      </c>
      <c r="M28" s="46">
        <v>4</v>
      </c>
      <c r="N28">
        <v>2</v>
      </c>
      <c r="O28" s="33">
        <v>1155</v>
      </c>
      <c r="P28">
        <v>27</v>
      </c>
      <c r="T28" s="10"/>
      <c r="U28" s="11" t="s">
        <v>116</v>
      </c>
      <c r="V28">
        <v>3</v>
      </c>
      <c r="W28" s="33"/>
      <c r="X28" t="s">
        <v>414</v>
      </c>
      <c r="Y28">
        <v>27</v>
      </c>
      <c r="AA28" s="3"/>
      <c r="AB28" s="23" t="s">
        <v>194</v>
      </c>
    </row>
    <row r="29" spans="3:28" x14ac:dyDescent="0.2">
      <c r="C29" s="14"/>
      <c r="D29" s="37" t="s">
        <v>151</v>
      </c>
      <c r="E29" s="46">
        <v>5</v>
      </c>
      <c r="F29">
        <v>1</v>
      </c>
      <c r="G29" s="33">
        <v>0</v>
      </c>
      <c r="H29">
        <v>28</v>
      </c>
      <c r="K29" s="2"/>
      <c r="L29" s="7" t="s">
        <v>44</v>
      </c>
      <c r="M29" s="46">
        <v>4</v>
      </c>
      <c r="N29">
        <v>2</v>
      </c>
      <c r="O29" s="33">
        <v>2029</v>
      </c>
      <c r="P29">
        <v>28</v>
      </c>
      <c r="T29" s="10"/>
      <c r="U29" s="11" t="s">
        <v>118</v>
      </c>
      <c r="V29">
        <v>3</v>
      </c>
      <c r="W29" s="33"/>
      <c r="X29" t="s">
        <v>414</v>
      </c>
      <c r="Y29">
        <v>28</v>
      </c>
      <c r="AA29" s="3"/>
      <c r="AB29" s="23" t="s">
        <v>195</v>
      </c>
    </row>
    <row r="30" spans="3:28" x14ac:dyDescent="0.2">
      <c r="C30" s="14"/>
      <c r="D30" s="12" t="s">
        <v>152</v>
      </c>
      <c r="E30" s="46">
        <v>5</v>
      </c>
      <c r="F30">
        <v>1</v>
      </c>
      <c r="G30" s="33">
        <v>0</v>
      </c>
      <c r="H30">
        <v>29</v>
      </c>
      <c r="K30" s="2"/>
      <c r="L30" s="7" t="s">
        <v>45</v>
      </c>
      <c r="M30" s="46">
        <v>4</v>
      </c>
      <c r="N30">
        <v>2</v>
      </c>
      <c r="O30" s="33">
        <v>2299</v>
      </c>
      <c r="P30">
        <v>29</v>
      </c>
      <c r="T30" s="10"/>
      <c r="U30" s="11" t="s">
        <v>119</v>
      </c>
      <c r="V30">
        <v>3</v>
      </c>
      <c r="W30" s="33"/>
      <c r="X30" t="s">
        <v>414</v>
      </c>
      <c r="Y30">
        <v>29</v>
      </c>
      <c r="AA30" s="3"/>
      <c r="AB30" s="23" t="s">
        <v>196</v>
      </c>
    </row>
    <row r="31" spans="3:28" x14ac:dyDescent="0.2">
      <c r="C31" s="14"/>
      <c r="D31" s="37" t="s">
        <v>157</v>
      </c>
      <c r="E31" s="46">
        <v>5</v>
      </c>
      <c r="F31">
        <v>1</v>
      </c>
      <c r="G31" s="33">
        <v>0</v>
      </c>
      <c r="H31">
        <v>30</v>
      </c>
      <c r="K31" s="2"/>
      <c r="L31" s="7" t="s">
        <v>46</v>
      </c>
      <c r="M31" s="46">
        <v>4</v>
      </c>
      <c r="N31">
        <v>2</v>
      </c>
      <c r="O31" s="33">
        <v>4633</v>
      </c>
      <c r="P31">
        <v>30</v>
      </c>
      <c r="T31" s="10"/>
      <c r="U31" s="11" t="s">
        <v>121</v>
      </c>
      <c r="V31">
        <v>3</v>
      </c>
      <c r="W31" s="33"/>
      <c r="X31" t="s">
        <v>414</v>
      </c>
      <c r="Y31">
        <v>30</v>
      </c>
      <c r="AA31" s="26"/>
      <c r="AB31" s="27" t="s">
        <v>197</v>
      </c>
    </row>
    <row r="32" spans="3:28" x14ac:dyDescent="0.2">
      <c r="C32" s="14"/>
      <c r="D32" s="12" t="s">
        <v>159</v>
      </c>
      <c r="E32" s="46">
        <v>5</v>
      </c>
      <c r="F32">
        <v>1</v>
      </c>
      <c r="G32" s="33">
        <v>0</v>
      </c>
      <c r="H32">
        <v>31</v>
      </c>
      <c r="K32" s="2"/>
      <c r="L32" s="7" t="s">
        <v>47</v>
      </c>
      <c r="M32" s="46">
        <v>4</v>
      </c>
      <c r="N32">
        <v>2</v>
      </c>
      <c r="O32" s="33">
        <v>2003</v>
      </c>
      <c r="P32">
        <v>31</v>
      </c>
      <c r="T32" s="10"/>
      <c r="U32" s="11" t="s">
        <v>123</v>
      </c>
      <c r="V32">
        <v>3</v>
      </c>
      <c r="W32" s="33"/>
      <c r="X32" t="s">
        <v>414</v>
      </c>
      <c r="Y32">
        <v>31</v>
      </c>
      <c r="AA32" s="26"/>
      <c r="AB32" s="27" t="s">
        <v>198</v>
      </c>
    </row>
    <row r="33" spans="3:28" x14ac:dyDescent="0.2">
      <c r="C33" s="14"/>
      <c r="D33" s="37" t="s">
        <v>160</v>
      </c>
      <c r="E33" s="46">
        <v>5</v>
      </c>
      <c r="F33">
        <v>1</v>
      </c>
      <c r="G33" s="33">
        <v>0</v>
      </c>
      <c r="H33">
        <v>32</v>
      </c>
      <c r="K33" s="2"/>
      <c r="L33" s="7" t="s">
        <v>48</v>
      </c>
      <c r="M33" s="46">
        <v>4</v>
      </c>
      <c r="N33">
        <v>2</v>
      </c>
      <c r="O33" s="33">
        <v>2064</v>
      </c>
      <c r="P33">
        <v>32</v>
      </c>
      <c r="T33" s="10"/>
      <c r="U33" s="11" t="s">
        <v>124</v>
      </c>
      <c r="V33">
        <v>3</v>
      </c>
      <c r="W33" s="33"/>
      <c r="X33" t="s">
        <v>414</v>
      </c>
      <c r="Y33">
        <v>32</v>
      </c>
      <c r="AA33" s="26"/>
      <c r="AB33" s="27" t="s">
        <v>199</v>
      </c>
    </row>
    <row r="34" spans="3:28" x14ac:dyDescent="0.2">
      <c r="C34" s="14"/>
      <c r="D34" s="12" t="s">
        <v>164</v>
      </c>
      <c r="E34" s="46">
        <v>5</v>
      </c>
      <c r="F34">
        <v>1</v>
      </c>
      <c r="G34" s="33">
        <v>0</v>
      </c>
      <c r="H34">
        <v>33</v>
      </c>
      <c r="K34" s="2"/>
      <c r="L34" s="7" t="s">
        <v>49</v>
      </c>
      <c r="M34" s="46">
        <v>4</v>
      </c>
      <c r="N34">
        <v>2</v>
      </c>
      <c r="O34" s="33">
        <v>1476</v>
      </c>
      <c r="P34">
        <v>33</v>
      </c>
      <c r="T34" s="10"/>
      <c r="U34" s="11" t="s">
        <v>126</v>
      </c>
      <c r="V34">
        <v>3</v>
      </c>
      <c r="W34" s="33"/>
      <c r="X34" t="s">
        <v>414</v>
      </c>
      <c r="Y34">
        <v>33</v>
      </c>
      <c r="AA34" s="26"/>
      <c r="AB34" s="27" t="s">
        <v>200</v>
      </c>
    </row>
    <row r="35" spans="3:28" x14ac:dyDescent="0.2">
      <c r="C35" s="14"/>
      <c r="D35" s="37" t="s">
        <v>165</v>
      </c>
      <c r="E35" s="46">
        <v>5</v>
      </c>
      <c r="F35">
        <v>1</v>
      </c>
      <c r="G35" s="33">
        <v>0</v>
      </c>
      <c r="H35">
        <v>34</v>
      </c>
      <c r="J35">
        <f>441-160</f>
        <v>281</v>
      </c>
      <c r="K35" s="2"/>
      <c r="L35" s="7" t="s">
        <v>50</v>
      </c>
      <c r="M35" s="46">
        <v>4</v>
      </c>
      <c r="N35">
        <v>2</v>
      </c>
      <c r="O35" s="33">
        <v>1963</v>
      </c>
      <c r="P35">
        <v>34</v>
      </c>
      <c r="T35" s="10"/>
      <c r="U35" s="11" t="s">
        <v>128</v>
      </c>
      <c r="V35">
        <v>3</v>
      </c>
      <c r="W35" s="33"/>
      <c r="X35" t="s">
        <v>414</v>
      </c>
      <c r="Y35">
        <v>34</v>
      </c>
      <c r="AA35" s="26"/>
      <c r="AB35" s="27" t="s">
        <v>201</v>
      </c>
    </row>
    <row r="36" spans="3:28" x14ac:dyDescent="0.2">
      <c r="C36" s="17"/>
      <c r="D36" s="45" t="s">
        <v>167</v>
      </c>
      <c r="E36" s="46">
        <v>5</v>
      </c>
      <c r="F36">
        <v>1</v>
      </c>
      <c r="G36" s="33">
        <v>0</v>
      </c>
      <c r="H36">
        <v>35</v>
      </c>
      <c r="J36">
        <f>J35-192</f>
        <v>89</v>
      </c>
      <c r="K36" s="2"/>
      <c r="L36" s="7" t="s">
        <v>51</v>
      </c>
      <c r="M36" s="46">
        <v>4</v>
      </c>
      <c r="N36">
        <v>2</v>
      </c>
      <c r="O36" s="33">
        <v>2245</v>
      </c>
      <c r="P36">
        <v>35</v>
      </c>
      <c r="T36" s="10"/>
      <c r="U36" s="11" t="s">
        <v>140</v>
      </c>
      <c r="V36">
        <v>3</v>
      </c>
      <c r="W36" s="33"/>
      <c r="X36" t="s">
        <v>414</v>
      </c>
      <c r="Y36">
        <v>35</v>
      </c>
      <c r="AA36" s="26"/>
      <c r="AB36" s="27" t="s">
        <v>202</v>
      </c>
    </row>
    <row r="37" spans="3:28" x14ac:dyDescent="0.2">
      <c r="C37" s="17"/>
      <c r="D37" s="17" t="s">
        <v>169</v>
      </c>
      <c r="E37" s="46">
        <v>5</v>
      </c>
      <c r="F37">
        <v>1</v>
      </c>
      <c r="G37" s="33">
        <v>0</v>
      </c>
      <c r="H37">
        <v>36</v>
      </c>
      <c r="K37" s="2"/>
      <c r="L37" s="7" t="s">
        <v>52</v>
      </c>
      <c r="M37" s="46">
        <v>4</v>
      </c>
      <c r="N37">
        <v>2</v>
      </c>
      <c r="O37" s="33">
        <v>2401</v>
      </c>
      <c r="P37">
        <v>36</v>
      </c>
      <c r="T37" s="14"/>
      <c r="U37" s="37" t="s">
        <v>144</v>
      </c>
      <c r="V37">
        <v>3</v>
      </c>
      <c r="W37" s="33"/>
      <c r="X37" t="s">
        <v>414</v>
      </c>
      <c r="Y37">
        <v>36</v>
      </c>
      <c r="AA37" s="8"/>
      <c r="AB37" s="9" t="s">
        <v>221</v>
      </c>
    </row>
    <row r="38" spans="3:28" x14ac:dyDescent="0.2">
      <c r="C38" s="18"/>
      <c r="D38" s="18" t="s">
        <v>173</v>
      </c>
      <c r="E38" s="46">
        <v>3</v>
      </c>
      <c r="F38">
        <v>1</v>
      </c>
      <c r="G38" s="33">
        <v>0</v>
      </c>
      <c r="H38">
        <v>37</v>
      </c>
      <c r="K38" s="2"/>
      <c r="L38" s="7" t="s">
        <v>53</v>
      </c>
      <c r="M38" s="46">
        <v>4</v>
      </c>
      <c r="N38">
        <v>2</v>
      </c>
      <c r="O38" s="33">
        <v>1251</v>
      </c>
      <c r="P38">
        <v>37</v>
      </c>
      <c r="T38" s="14"/>
      <c r="U38" s="37" t="s">
        <v>154</v>
      </c>
      <c r="V38">
        <v>3</v>
      </c>
      <c r="W38" s="33"/>
      <c r="X38" t="s">
        <v>414</v>
      </c>
      <c r="Y38">
        <v>37</v>
      </c>
      <c r="AA38" s="8"/>
      <c r="AB38" s="9" t="s">
        <v>222</v>
      </c>
    </row>
    <row r="39" spans="3:28" x14ac:dyDescent="0.2">
      <c r="C39" s="18"/>
      <c r="D39" s="43" t="s">
        <v>177</v>
      </c>
      <c r="E39" s="46">
        <v>3</v>
      </c>
      <c r="F39">
        <v>1</v>
      </c>
      <c r="G39" s="33">
        <v>0</v>
      </c>
      <c r="H39">
        <v>38</v>
      </c>
      <c r="K39" s="2"/>
      <c r="L39" s="7" t="s">
        <v>54</v>
      </c>
      <c r="M39" s="46">
        <v>4</v>
      </c>
      <c r="N39">
        <v>2</v>
      </c>
      <c r="O39" s="33">
        <v>2276</v>
      </c>
      <c r="P39">
        <v>38</v>
      </c>
      <c r="T39" s="14"/>
      <c r="U39" s="37" t="s">
        <v>155</v>
      </c>
      <c r="V39">
        <v>3</v>
      </c>
      <c r="W39" s="33"/>
      <c r="X39" t="s">
        <v>414</v>
      </c>
      <c r="Y39">
        <v>38</v>
      </c>
      <c r="AA39" s="8"/>
      <c r="AB39" s="9" t="s">
        <v>223</v>
      </c>
    </row>
    <row r="40" spans="3:28" x14ac:dyDescent="0.2">
      <c r="C40" s="18"/>
      <c r="D40" s="18" t="s">
        <v>178</v>
      </c>
      <c r="E40" s="46">
        <v>3</v>
      </c>
      <c r="F40">
        <v>1</v>
      </c>
      <c r="G40" s="33">
        <v>0</v>
      </c>
      <c r="H40">
        <v>39</v>
      </c>
      <c r="K40" s="2"/>
      <c r="L40" s="7" t="s">
        <v>55</v>
      </c>
      <c r="M40" s="46">
        <v>4</v>
      </c>
      <c r="N40">
        <v>2</v>
      </c>
      <c r="O40" s="33">
        <v>1333</v>
      </c>
      <c r="P40">
        <v>39</v>
      </c>
      <c r="T40" s="14"/>
      <c r="U40" s="37" t="s">
        <v>158</v>
      </c>
      <c r="V40">
        <v>3</v>
      </c>
      <c r="W40" s="33"/>
      <c r="X40" t="s">
        <v>414</v>
      </c>
      <c r="Y40">
        <v>39</v>
      </c>
      <c r="AA40" s="8"/>
      <c r="AB40" s="9" t="s">
        <v>224</v>
      </c>
    </row>
    <row r="41" spans="3:28" x14ac:dyDescent="0.2">
      <c r="C41" s="19"/>
      <c r="D41" s="20" t="s">
        <v>179</v>
      </c>
      <c r="E41" s="46">
        <v>4</v>
      </c>
      <c r="F41">
        <v>1</v>
      </c>
      <c r="G41" s="33">
        <v>0</v>
      </c>
      <c r="H41">
        <v>40</v>
      </c>
      <c r="K41" s="2"/>
      <c r="L41" s="7" t="s">
        <v>56</v>
      </c>
      <c r="M41" s="46">
        <v>4</v>
      </c>
      <c r="N41">
        <v>2</v>
      </c>
      <c r="O41" s="33">
        <v>1361</v>
      </c>
      <c r="P41">
        <v>40</v>
      </c>
      <c r="T41" s="14"/>
      <c r="U41" s="37" t="s">
        <v>161</v>
      </c>
      <c r="V41">
        <v>3</v>
      </c>
      <c r="W41" s="33"/>
      <c r="X41" t="s">
        <v>414</v>
      </c>
      <c r="Y41">
        <v>40</v>
      </c>
      <c r="AA41" s="8"/>
      <c r="AB41" s="9" t="s">
        <v>225</v>
      </c>
    </row>
    <row r="42" spans="3:28" x14ac:dyDescent="0.2">
      <c r="C42" s="19"/>
      <c r="D42" s="40" t="s">
        <v>180</v>
      </c>
      <c r="E42" s="46">
        <v>4</v>
      </c>
      <c r="F42">
        <v>1</v>
      </c>
      <c r="G42" s="33">
        <v>0</v>
      </c>
      <c r="H42">
        <v>41</v>
      </c>
      <c r="K42" s="2"/>
      <c r="L42" s="7" t="s">
        <v>57</v>
      </c>
      <c r="M42" s="46">
        <v>4</v>
      </c>
      <c r="N42">
        <v>2</v>
      </c>
      <c r="O42" s="33">
        <v>1570</v>
      </c>
      <c r="P42">
        <v>41</v>
      </c>
      <c r="T42" s="14"/>
      <c r="U42" s="37" t="s">
        <v>163</v>
      </c>
      <c r="V42">
        <v>3</v>
      </c>
      <c r="W42" s="33"/>
      <c r="X42" t="s">
        <v>414</v>
      </c>
      <c r="Y42">
        <v>41</v>
      </c>
      <c r="AA42" s="8"/>
      <c r="AB42" s="9" t="s">
        <v>226</v>
      </c>
    </row>
    <row r="43" spans="3:28" x14ac:dyDescent="0.2">
      <c r="C43" s="19"/>
      <c r="D43" s="40" t="s">
        <v>181</v>
      </c>
      <c r="E43" s="46">
        <v>4</v>
      </c>
      <c r="F43">
        <v>1</v>
      </c>
      <c r="G43" s="33">
        <v>0</v>
      </c>
      <c r="H43">
        <v>42</v>
      </c>
      <c r="K43" s="2"/>
      <c r="L43" s="7" t="s">
        <v>58</v>
      </c>
      <c r="M43" s="46">
        <v>4</v>
      </c>
      <c r="N43">
        <v>2</v>
      </c>
      <c r="O43" s="33">
        <v>1729</v>
      </c>
      <c r="P43">
        <v>42</v>
      </c>
      <c r="T43" s="18"/>
      <c r="U43" s="18" t="s">
        <v>174</v>
      </c>
      <c r="V43">
        <v>3</v>
      </c>
      <c r="W43" s="33"/>
      <c r="X43" t="s">
        <v>414</v>
      </c>
      <c r="Y43">
        <v>42</v>
      </c>
      <c r="AA43" s="8"/>
      <c r="AB43" s="9" t="s">
        <v>227</v>
      </c>
    </row>
    <row r="44" spans="3:28" x14ac:dyDescent="0.2">
      <c r="C44" s="19"/>
      <c r="D44" s="20" t="s">
        <v>182</v>
      </c>
      <c r="E44" s="46">
        <v>4</v>
      </c>
      <c r="F44">
        <v>1</v>
      </c>
      <c r="G44" s="33">
        <v>0</v>
      </c>
      <c r="H44">
        <v>43</v>
      </c>
      <c r="K44" s="2"/>
      <c r="L44" s="7" t="s">
        <v>63</v>
      </c>
      <c r="M44" s="46">
        <v>4</v>
      </c>
      <c r="N44">
        <v>2</v>
      </c>
      <c r="O44" s="33">
        <v>1789</v>
      </c>
      <c r="P44">
        <v>43</v>
      </c>
      <c r="T44" s="21"/>
      <c r="U44" s="22" t="s">
        <v>185</v>
      </c>
      <c r="V44">
        <v>3</v>
      </c>
      <c r="W44" s="33"/>
      <c r="X44" t="s">
        <v>414</v>
      </c>
      <c r="Y44">
        <v>43</v>
      </c>
      <c r="AA44" s="8"/>
      <c r="AB44" s="9" t="s">
        <v>228</v>
      </c>
    </row>
    <row r="45" spans="3:28" x14ac:dyDescent="0.2">
      <c r="C45" s="19"/>
      <c r="D45" s="20" t="s">
        <v>183</v>
      </c>
      <c r="E45" s="46">
        <v>4</v>
      </c>
      <c r="F45">
        <v>1</v>
      </c>
      <c r="G45" s="33">
        <v>0</v>
      </c>
      <c r="H45">
        <v>44</v>
      </c>
      <c r="K45" s="2"/>
      <c r="L45" s="7" t="s">
        <v>66</v>
      </c>
      <c r="M45" s="46">
        <v>4</v>
      </c>
      <c r="N45">
        <v>2</v>
      </c>
      <c r="O45" s="33">
        <v>2321</v>
      </c>
      <c r="P45">
        <v>44</v>
      </c>
      <c r="T45" s="21"/>
      <c r="U45" s="22" t="s">
        <v>188</v>
      </c>
      <c r="V45">
        <v>3</v>
      </c>
      <c r="W45" s="33"/>
      <c r="X45" t="s">
        <v>414</v>
      </c>
      <c r="Y45">
        <v>44</v>
      </c>
      <c r="AA45" s="15"/>
      <c r="AB45" s="30" t="s">
        <v>255</v>
      </c>
    </row>
    <row r="46" spans="3:28" x14ac:dyDescent="0.2">
      <c r="C46" s="21"/>
      <c r="D46" s="42" t="s">
        <v>187</v>
      </c>
      <c r="E46" s="46">
        <v>5</v>
      </c>
      <c r="F46">
        <v>1</v>
      </c>
      <c r="G46" s="33">
        <v>0</v>
      </c>
      <c r="H46">
        <v>45</v>
      </c>
      <c r="K46" s="2"/>
      <c r="L46" s="7" t="s">
        <v>67</v>
      </c>
      <c r="M46" s="46">
        <v>4</v>
      </c>
      <c r="N46">
        <v>2</v>
      </c>
      <c r="O46" s="33">
        <v>5236</v>
      </c>
      <c r="P46">
        <v>45</v>
      </c>
      <c r="T46" s="21"/>
      <c r="U46" s="22" t="s">
        <v>189</v>
      </c>
      <c r="V46">
        <v>3</v>
      </c>
      <c r="W46" s="33"/>
      <c r="X46" t="s">
        <v>414</v>
      </c>
      <c r="Y46">
        <v>45</v>
      </c>
      <c r="AA46" s="15"/>
      <c r="AB46" s="30" t="s">
        <v>256</v>
      </c>
    </row>
    <row r="47" spans="3:28" x14ac:dyDescent="0.2">
      <c r="C47" s="8"/>
      <c r="D47" s="9" t="s">
        <v>229</v>
      </c>
      <c r="E47" s="46">
        <v>4</v>
      </c>
      <c r="F47">
        <v>1</v>
      </c>
      <c r="G47" s="33">
        <v>0</v>
      </c>
      <c r="H47">
        <v>46</v>
      </c>
      <c r="K47" s="2"/>
      <c r="L47" s="7" t="s">
        <v>68</v>
      </c>
      <c r="M47" s="46">
        <v>4</v>
      </c>
      <c r="N47">
        <v>2</v>
      </c>
      <c r="O47" s="33">
        <v>225</v>
      </c>
      <c r="P47">
        <v>46</v>
      </c>
      <c r="T47" s="21"/>
      <c r="U47" s="22" t="s">
        <v>190</v>
      </c>
      <c r="V47">
        <v>3</v>
      </c>
      <c r="W47" s="33"/>
      <c r="X47" t="s">
        <v>414</v>
      </c>
      <c r="Y47">
        <v>46</v>
      </c>
      <c r="AA47" s="15"/>
      <c r="AB47" s="30" t="s">
        <v>257</v>
      </c>
    </row>
    <row r="48" spans="3:28" x14ac:dyDescent="0.2">
      <c r="C48" s="8"/>
      <c r="D48" s="9" t="s">
        <v>230</v>
      </c>
      <c r="E48" s="46">
        <v>4</v>
      </c>
      <c r="F48">
        <v>1</v>
      </c>
      <c r="G48" s="33">
        <v>0</v>
      </c>
      <c r="H48">
        <v>47</v>
      </c>
      <c r="K48" s="2"/>
      <c r="L48" s="7" t="s">
        <v>72</v>
      </c>
      <c r="M48" s="46">
        <v>4</v>
      </c>
      <c r="N48">
        <v>2</v>
      </c>
      <c r="O48" s="33">
        <v>1010</v>
      </c>
      <c r="P48">
        <v>47</v>
      </c>
      <c r="T48" s="28"/>
      <c r="U48" s="29" t="s">
        <v>271</v>
      </c>
      <c r="V48">
        <v>3</v>
      </c>
      <c r="W48" s="33"/>
      <c r="X48" t="s">
        <v>414</v>
      </c>
      <c r="Y48">
        <v>47</v>
      </c>
      <c r="AA48" s="15"/>
      <c r="AB48" s="30" t="s">
        <v>258</v>
      </c>
    </row>
    <row r="49" spans="3:28" x14ac:dyDescent="0.2">
      <c r="C49" s="8"/>
      <c r="D49" s="34" t="s">
        <v>237</v>
      </c>
      <c r="E49" s="46">
        <v>4</v>
      </c>
      <c r="F49">
        <v>1</v>
      </c>
      <c r="G49" s="33">
        <v>0</v>
      </c>
      <c r="H49">
        <v>48</v>
      </c>
      <c r="K49" s="2"/>
      <c r="L49" s="7" t="s">
        <v>75</v>
      </c>
      <c r="M49" s="46">
        <v>4</v>
      </c>
      <c r="N49">
        <v>2</v>
      </c>
      <c r="O49" s="33">
        <v>321</v>
      </c>
      <c r="P49">
        <v>48</v>
      </c>
      <c r="T49" s="28"/>
      <c r="U49" s="29" t="s">
        <v>274</v>
      </c>
      <c r="V49">
        <v>3</v>
      </c>
      <c r="W49" s="33"/>
      <c r="X49" t="s">
        <v>414</v>
      </c>
      <c r="Y49">
        <v>48</v>
      </c>
      <c r="AA49" s="15"/>
      <c r="AB49" s="30" t="s">
        <v>259</v>
      </c>
    </row>
    <row r="50" spans="3:28" x14ac:dyDescent="0.2">
      <c r="C50" s="8"/>
      <c r="D50" s="9" t="s">
        <v>244</v>
      </c>
      <c r="E50" s="46">
        <v>4</v>
      </c>
      <c r="F50">
        <v>1</v>
      </c>
      <c r="G50" s="33">
        <v>0</v>
      </c>
      <c r="H50">
        <v>49</v>
      </c>
      <c r="K50" s="2"/>
      <c r="L50" s="7" t="s">
        <v>76</v>
      </c>
      <c r="M50" s="46">
        <v>4</v>
      </c>
      <c r="N50">
        <v>2</v>
      </c>
      <c r="O50" s="33">
        <v>337</v>
      </c>
      <c r="P50">
        <v>49</v>
      </c>
      <c r="T50" s="28"/>
      <c r="U50" s="29" t="s">
        <v>277</v>
      </c>
      <c r="V50">
        <v>3</v>
      </c>
      <c r="W50" s="33"/>
      <c r="X50" t="s">
        <v>414</v>
      </c>
      <c r="Y50">
        <v>49</v>
      </c>
      <c r="AA50" s="15"/>
      <c r="AB50" s="30" t="s">
        <v>260</v>
      </c>
    </row>
    <row r="51" spans="3:28" x14ac:dyDescent="0.2">
      <c r="C51" s="8"/>
      <c r="D51" s="9" t="s">
        <v>247</v>
      </c>
      <c r="E51" s="46">
        <v>4</v>
      </c>
      <c r="F51">
        <v>1</v>
      </c>
      <c r="G51" s="33">
        <v>0</v>
      </c>
      <c r="H51">
        <v>50</v>
      </c>
      <c r="K51" s="2"/>
      <c r="L51" s="7" t="s">
        <v>78</v>
      </c>
      <c r="M51" s="46">
        <v>4</v>
      </c>
      <c r="N51">
        <v>2</v>
      </c>
      <c r="O51" s="33">
        <v>349</v>
      </c>
      <c r="P51">
        <v>50</v>
      </c>
      <c r="T51" s="28"/>
      <c r="U51" s="29" t="s">
        <v>281</v>
      </c>
      <c r="V51">
        <v>3</v>
      </c>
      <c r="W51" s="33"/>
      <c r="X51" t="s">
        <v>414</v>
      </c>
      <c r="Y51">
        <v>50</v>
      </c>
      <c r="AA51" s="15"/>
      <c r="AB51" s="30" t="s">
        <v>261</v>
      </c>
    </row>
    <row r="52" spans="3:28" x14ac:dyDescent="0.2">
      <c r="C52" s="8"/>
      <c r="D52" s="34" t="s">
        <v>250</v>
      </c>
      <c r="E52" s="46">
        <v>4</v>
      </c>
      <c r="F52">
        <v>1</v>
      </c>
      <c r="G52" s="33">
        <v>0</v>
      </c>
      <c r="H52">
        <v>51</v>
      </c>
      <c r="K52" s="2"/>
      <c r="L52" s="7" t="s">
        <v>89</v>
      </c>
      <c r="M52" s="46">
        <v>4</v>
      </c>
      <c r="N52">
        <v>2</v>
      </c>
      <c r="O52" s="33">
        <v>758</v>
      </c>
      <c r="P52">
        <v>51</v>
      </c>
      <c r="T52" s="28"/>
      <c r="U52" s="29" t="s">
        <v>283</v>
      </c>
      <c r="V52">
        <v>3</v>
      </c>
      <c r="W52" s="33"/>
      <c r="X52" t="s">
        <v>414</v>
      </c>
      <c r="Y52">
        <v>51</v>
      </c>
      <c r="AA52" s="15"/>
      <c r="AB52" s="30" t="s">
        <v>262</v>
      </c>
    </row>
    <row r="53" spans="3:28" x14ac:dyDescent="0.2">
      <c r="C53" s="8"/>
      <c r="D53" s="9" t="s">
        <v>252</v>
      </c>
      <c r="E53" s="46">
        <v>4</v>
      </c>
      <c r="F53">
        <v>1</v>
      </c>
      <c r="G53" s="33">
        <v>0</v>
      </c>
      <c r="H53">
        <v>52</v>
      </c>
      <c r="K53" s="2"/>
      <c r="L53" s="7" t="s">
        <v>90</v>
      </c>
      <c r="M53" s="46">
        <v>4</v>
      </c>
      <c r="N53">
        <v>2</v>
      </c>
      <c r="O53" s="33">
        <v>56</v>
      </c>
      <c r="P53">
        <v>52</v>
      </c>
      <c r="T53" s="28"/>
      <c r="U53" s="29" t="s">
        <v>289</v>
      </c>
      <c r="V53">
        <v>3</v>
      </c>
      <c r="W53" s="33"/>
      <c r="X53" t="s">
        <v>414</v>
      </c>
      <c r="Y53">
        <v>52</v>
      </c>
      <c r="AA53" s="15"/>
      <c r="AB53" s="30" t="s">
        <v>263</v>
      </c>
    </row>
    <row r="54" spans="3:28" x14ac:dyDescent="0.2">
      <c r="C54" s="8"/>
      <c r="D54" s="9" t="s">
        <v>254</v>
      </c>
      <c r="E54" s="46">
        <v>4</v>
      </c>
      <c r="F54">
        <v>1</v>
      </c>
      <c r="G54" s="33">
        <v>0</v>
      </c>
      <c r="H54">
        <v>53</v>
      </c>
      <c r="K54" s="2"/>
      <c r="L54" s="7" t="s">
        <v>95</v>
      </c>
      <c r="M54" s="46">
        <v>4</v>
      </c>
      <c r="N54">
        <v>2</v>
      </c>
      <c r="O54" s="33">
        <v>227</v>
      </c>
      <c r="P54">
        <v>53</v>
      </c>
      <c r="T54" s="28"/>
      <c r="U54" s="29" t="s">
        <v>290</v>
      </c>
      <c r="V54">
        <v>3</v>
      </c>
      <c r="W54" s="33"/>
      <c r="X54" t="s">
        <v>414</v>
      </c>
      <c r="Y54">
        <v>53</v>
      </c>
      <c r="AA54" s="15"/>
      <c r="AB54" s="30" t="s">
        <v>264</v>
      </c>
    </row>
    <row r="55" spans="3:28" x14ac:dyDescent="0.2">
      <c r="C55" s="28"/>
      <c r="D55" s="38" t="s">
        <v>257</v>
      </c>
      <c r="E55" s="46">
        <v>6</v>
      </c>
      <c r="F55">
        <v>1</v>
      </c>
      <c r="G55" s="33">
        <v>0</v>
      </c>
      <c r="H55">
        <v>54</v>
      </c>
      <c r="K55" s="2"/>
      <c r="L55" s="7" t="s">
        <v>96</v>
      </c>
      <c r="M55" s="46">
        <v>4</v>
      </c>
      <c r="N55">
        <v>2</v>
      </c>
      <c r="O55" s="33">
        <v>51</v>
      </c>
      <c r="P55">
        <v>54</v>
      </c>
      <c r="T55" s="13"/>
      <c r="U55" s="31" t="s">
        <v>293</v>
      </c>
      <c r="V55">
        <v>3</v>
      </c>
      <c r="W55" s="33"/>
      <c r="X55" t="s">
        <v>414</v>
      </c>
      <c r="Y55">
        <v>54</v>
      </c>
      <c r="AA55" s="15"/>
      <c r="AB55" s="30" t="s">
        <v>265</v>
      </c>
    </row>
    <row r="56" spans="3:28" x14ac:dyDescent="0.2">
      <c r="C56" s="28"/>
      <c r="D56" s="29" t="s">
        <v>259</v>
      </c>
      <c r="E56" s="46">
        <v>6</v>
      </c>
      <c r="F56">
        <v>1</v>
      </c>
      <c r="G56" s="33">
        <v>0</v>
      </c>
      <c r="H56">
        <v>55</v>
      </c>
      <c r="K56" s="2"/>
      <c r="L56" s="7" t="s">
        <v>100</v>
      </c>
      <c r="M56" s="46">
        <v>4</v>
      </c>
      <c r="N56">
        <v>2</v>
      </c>
      <c r="O56" s="33">
        <v>325</v>
      </c>
      <c r="P56">
        <v>55</v>
      </c>
      <c r="T56" s="13"/>
      <c r="U56" s="31" t="s">
        <v>297</v>
      </c>
      <c r="V56">
        <v>3</v>
      </c>
      <c r="W56" s="33"/>
      <c r="X56" t="s">
        <v>414</v>
      </c>
      <c r="Y56">
        <v>55</v>
      </c>
      <c r="AA56" s="15"/>
      <c r="AB56" s="30" t="s">
        <v>266</v>
      </c>
    </row>
    <row r="57" spans="3:28" x14ac:dyDescent="0.2">
      <c r="C57" s="28"/>
      <c r="D57" s="29" t="s">
        <v>260</v>
      </c>
      <c r="E57" s="46">
        <v>6</v>
      </c>
      <c r="F57">
        <v>1</v>
      </c>
      <c r="G57" s="33">
        <v>0</v>
      </c>
      <c r="H57">
        <v>56</v>
      </c>
      <c r="K57" s="10"/>
      <c r="L57" s="11" t="s">
        <v>60</v>
      </c>
      <c r="M57" s="46">
        <v>5</v>
      </c>
      <c r="N57">
        <v>2</v>
      </c>
      <c r="O57" s="33">
        <v>1935</v>
      </c>
      <c r="P57">
        <v>56</v>
      </c>
      <c r="T57" s="13"/>
      <c r="U57" s="31" t="s">
        <v>298</v>
      </c>
      <c r="V57">
        <v>3</v>
      </c>
      <c r="W57" s="33"/>
      <c r="X57" t="s">
        <v>414</v>
      </c>
      <c r="Y57">
        <v>56</v>
      </c>
      <c r="AA57" s="15"/>
      <c r="AB57" s="30" t="s">
        <v>267</v>
      </c>
    </row>
    <row r="58" spans="3:28" x14ac:dyDescent="0.2">
      <c r="C58" s="28"/>
      <c r="D58" s="38" t="s">
        <v>261</v>
      </c>
      <c r="E58" s="46">
        <v>6</v>
      </c>
      <c r="F58">
        <v>1</v>
      </c>
      <c r="G58" s="33">
        <v>0</v>
      </c>
      <c r="H58">
        <v>57</v>
      </c>
      <c r="K58" s="10"/>
      <c r="L58" s="11" t="s">
        <v>102</v>
      </c>
      <c r="M58" s="46">
        <v>5</v>
      </c>
      <c r="N58">
        <v>2</v>
      </c>
      <c r="O58" s="33">
        <v>600</v>
      </c>
      <c r="P58">
        <v>57</v>
      </c>
      <c r="T58" s="13"/>
      <c r="U58" s="31" t="s">
        <v>299</v>
      </c>
      <c r="V58">
        <v>3</v>
      </c>
      <c r="W58" s="33"/>
      <c r="X58" t="s">
        <v>414</v>
      </c>
      <c r="Y58">
        <v>57</v>
      </c>
      <c r="AA58" s="15"/>
      <c r="AB58" s="30" t="s">
        <v>268</v>
      </c>
    </row>
    <row r="59" spans="3:28" x14ac:dyDescent="0.2">
      <c r="C59" s="28"/>
      <c r="D59" s="38" t="s">
        <v>262</v>
      </c>
      <c r="E59" s="46">
        <v>6</v>
      </c>
      <c r="F59">
        <v>1</v>
      </c>
      <c r="G59" s="33">
        <v>0</v>
      </c>
      <c r="H59">
        <v>58</v>
      </c>
      <c r="K59" s="10"/>
      <c r="L59" s="11" t="s">
        <v>103</v>
      </c>
      <c r="M59" s="46">
        <v>5</v>
      </c>
      <c r="N59">
        <v>2</v>
      </c>
      <c r="O59" s="33">
        <v>1782</v>
      </c>
      <c r="P59">
        <v>58</v>
      </c>
      <c r="T59" s="24"/>
      <c r="U59" s="25" t="s">
        <v>300</v>
      </c>
      <c r="V59">
        <v>3</v>
      </c>
      <c r="W59" s="33"/>
      <c r="X59" t="s">
        <v>414</v>
      </c>
      <c r="Y59">
        <v>58</v>
      </c>
      <c r="AA59" s="15"/>
      <c r="AB59" s="30" t="s">
        <v>269</v>
      </c>
    </row>
    <row r="60" spans="3:28" x14ac:dyDescent="0.2">
      <c r="C60" s="28"/>
      <c r="D60" s="29" t="s">
        <v>264</v>
      </c>
      <c r="E60" s="46">
        <v>6</v>
      </c>
      <c r="F60">
        <v>1</v>
      </c>
      <c r="G60" s="33">
        <v>0</v>
      </c>
      <c r="H60">
        <v>59</v>
      </c>
      <c r="K60" s="10"/>
      <c r="L60" s="11" t="s">
        <v>104</v>
      </c>
      <c r="M60" s="46">
        <v>5</v>
      </c>
      <c r="N60">
        <v>2</v>
      </c>
      <c r="O60" s="33">
        <v>600</v>
      </c>
      <c r="P60">
        <v>59</v>
      </c>
      <c r="T60" s="24"/>
      <c r="U60" s="25" t="s">
        <v>303</v>
      </c>
      <c r="V60">
        <v>3</v>
      </c>
      <c r="W60" s="33"/>
      <c r="X60" t="s">
        <v>414</v>
      </c>
      <c r="Y60">
        <v>59</v>
      </c>
      <c r="AA60" s="15"/>
      <c r="AB60" s="30" t="s">
        <v>270</v>
      </c>
    </row>
    <row r="61" spans="3:28" x14ac:dyDescent="0.2">
      <c r="C61" s="28"/>
      <c r="D61" s="29" t="s">
        <v>268</v>
      </c>
      <c r="E61" s="46">
        <v>6</v>
      </c>
      <c r="F61">
        <v>1</v>
      </c>
      <c r="G61" s="33">
        <v>0</v>
      </c>
      <c r="H61">
        <v>60</v>
      </c>
      <c r="K61" s="10"/>
      <c r="L61" s="11" t="s">
        <v>105</v>
      </c>
      <c r="M61" s="46">
        <v>5</v>
      </c>
      <c r="N61">
        <v>2</v>
      </c>
      <c r="O61" s="33">
        <v>331</v>
      </c>
      <c r="P61">
        <v>60</v>
      </c>
      <c r="T61" s="24"/>
      <c r="U61" s="25" t="s">
        <v>307</v>
      </c>
      <c r="V61">
        <v>3</v>
      </c>
      <c r="W61" s="33"/>
      <c r="X61" t="s">
        <v>414</v>
      </c>
      <c r="Y61">
        <v>60</v>
      </c>
      <c r="AA61" s="15"/>
      <c r="AB61" s="30" t="s">
        <v>271</v>
      </c>
    </row>
    <row r="62" spans="3:28" x14ac:dyDescent="0.2">
      <c r="C62" s="28"/>
      <c r="D62" s="38" t="s">
        <v>275</v>
      </c>
      <c r="E62" s="46">
        <v>6</v>
      </c>
      <c r="F62">
        <v>1</v>
      </c>
      <c r="G62" s="33">
        <v>0</v>
      </c>
      <c r="H62">
        <v>61</v>
      </c>
      <c r="K62" s="10"/>
      <c r="L62" s="11" t="s">
        <v>110</v>
      </c>
      <c r="M62" s="46">
        <v>5</v>
      </c>
      <c r="N62">
        <v>2</v>
      </c>
      <c r="O62" s="33">
        <v>205</v>
      </c>
      <c r="P62">
        <v>61</v>
      </c>
      <c r="T62" s="24"/>
      <c r="U62" s="25" t="s">
        <v>315</v>
      </c>
      <c r="V62">
        <v>3</v>
      </c>
      <c r="W62" s="33"/>
      <c r="X62" t="s">
        <v>414</v>
      </c>
      <c r="Y62">
        <v>61</v>
      </c>
      <c r="AA62" s="15"/>
      <c r="AB62" s="30" t="s">
        <v>272</v>
      </c>
    </row>
    <row r="63" spans="3:28" x14ac:dyDescent="0.2">
      <c r="C63" s="28"/>
      <c r="D63" s="38" t="s">
        <v>282</v>
      </c>
      <c r="E63" s="46">
        <v>6</v>
      </c>
      <c r="F63">
        <v>1</v>
      </c>
      <c r="G63" s="33">
        <v>0</v>
      </c>
      <c r="H63">
        <v>62</v>
      </c>
      <c r="K63" s="10"/>
      <c r="L63" s="11" t="s">
        <v>111</v>
      </c>
      <c r="M63" s="46">
        <v>5</v>
      </c>
      <c r="N63">
        <v>2</v>
      </c>
      <c r="O63" s="33">
        <v>104</v>
      </c>
      <c r="P63">
        <v>62</v>
      </c>
      <c r="T63" s="24"/>
      <c r="U63" s="25" t="s">
        <v>323</v>
      </c>
      <c r="V63">
        <v>3</v>
      </c>
      <c r="W63" s="33"/>
      <c r="X63" t="s">
        <v>414</v>
      </c>
      <c r="Y63">
        <v>62</v>
      </c>
      <c r="AA63" s="15"/>
      <c r="AB63" s="30" t="s">
        <v>273</v>
      </c>
    </row>
    <row r="64" spans="3:28" x14ac:dyDescent="0.2">
      <c r="C64" s="28"/>
      <c r="D64" s="29" t="s">
        <v>286</v>
      </c>
      <c r="E64" s="46">
        <v>6</v>
      </c>
      <c r="F64">
        <v>1</v>
      </c>
      <c r="G64" s="33">
        <v>0</v>
      </c>
      <c r="H64">
        <v>63</v>
      </c>
      <c r="K64" s="10"/>
      <c r="L64" s="11" t="s">
        <v>114</v>
      </c>
      <c r="M64" s="46">
        <v>5</v>
      </c>
      <c r="N64">
        <v>2</v>
      </c>
      <c r="O64" s="33">
        <v>261</v>
      </c>
      <c r="P64">
        <v>63</v>
      </c>
      <c r="T64" s="24"/>
      <c r="U64" s="25" t="s">
        <v>325</v>
      </c>
      <c r="V64">
        <v>3</v>
      </c>
      <c r="W64" s="33"/>
      <c r="X64" t="s">
        <v>414</v>
      </c>
      <c r="Y64">
        <v>63</v>
      </c>
      <c r="AA64" s="15"/>
      <c r="AB64" s="30" t="s">
        <v>274</v>
      </c>
    </row>
    <row r="65" spans="3:28" x14ac:dyDescent="0.2">
      <c r="C65" s="28"/>
      <c r="D65" s="29" t="s">
        <v>287</v>
      </c>
      <c r="E65" s="46">
        <v>6</v>
      </c>
      <c r="F65">
        <v>1</v>
      </c>
      <c r="G65" s="33">
        <v>0</v>
      </c>
      <c r="H65">
        <v>64</v>
      </c>
      <c r="K65" s="10"/>
      <c r="L65" s="11" t="s">
        <v>115</v>
      </c>
      <c r="M65" s="46">
        <v>5</v>
      </c>
      <c r="N65">
        <v>2</v>
      </c>
      <c r="O65" s="33">
        <v>190</v>
      </c>
      <c r="P65">
        <v>64</v>
      </c>
      <c r="T65" s="24"/>
      <c r="U65" s="25" t="s">
        <v>329</v>
      </c>
      <c r="V65">
        <v>3</v>
      </c>
      <c r="W65" s="33"/>
      <c r="X65" t="s">
        <v>414</v>
      </c>
      <c r="Y65">
        <v>64</v>
      </c>
      <c r="AA65" s="15"/>
      <c r="AB65" s="30" t="s">
        <v>275</v>
      </c>
    </row>
    <row r="66" spans="3:28" x14ac:dyDescent="0.2">
      <c r="C66" s="24"/>
      <c r="D66" s="41" t="s">
        <v>304</v>
      </c>
      <c r="E66" s="46">
        <v>2</v>
      </c>
      <c r="F66">
        <v>1</v>
      </c>
      <c r="G66" s="33">
        <v>0</v>
      </c>
      <c r="H66">
        <v>65</v>
      </c>
      <c r="K66" s="10"/>
      <c r="L66" s="11" t="s">
        <v>117</v>
      </c>
      <c r="M66" s="46">
        <v>5</v>
      </c>
      <c r="N66">
        <v>2</v>
      </c>
      <c r="O66" s="33">
        <v>214</v>
      </c>
      <c r="P66">
        <v>65</v>
      </c>
      <c r="T66" s="24"/>
      <c r="U66" s="25" t="s">
        <v>331</v>
      </c>
      <c r="V66">
        <v>3</v>
      </c>
      <c r="W66" s="33"/>
      <c r="X66" t="s">
        <v>414</v>
      </c>
      <c r="Y66">
        <v>65</v>
      </c>
      <c r="AA66" s="15"/>
      <c r="AB66" s="30" t="s">
        <v>276</v>
      </c>
    </row>
    <row r="67" spans="3:28" x14ac:dyDescent="0.2">
      <c r="C67" s="24"/>
      <c r="D67" s="41" t="s">
        <v>305</v>
      </c>
      <c r="E67" s="46">
        <v>2</v>
      </c>
      <c r="F67">
        <v>1</v>
      </c>
      <c r="G67" s="33">
        <v>0</v>
      </c>
      <c r="H67">
        <v>66</v>
      </c>
      <c r="K67" s="10"/>
      <c r="L67" s="11" t="s">
        <v>120</v>
      </c>
      <c r="M67" s="46">
        <v>5</v>
      </c>
      <c r="N67">
        <v>2</v>
      </c>
      <c r="O67" s="33">
        <v>64</v>
      </c>
      <c r="P67">
        <v>66</v>
      </c>
      <c r="T67" s="24"/>
      <c r="U67" s="25" t="s">
        <v>332</v>
      </c>
      <c r="V67">
        <v>3</v>
      </c>
      <c r="W67" s="33"/>
      <c r="X67" t="s">
        <v>414</v>
      </c>
      <c r="Y67">
        <v>66</v>
      </c>
      <c r="AA67" s="15"/>
      <c r="AB67" s="30" t="s">
        <v>277</v>
      </c>
    </row>
    <row r="68" spans="3:28" x14ac:dyDescent="0.2">
      <c r="C68" s="24"/>
      <c r="D68" s="25" t="s">
        <v>306</v>
      </c>
      <c r="E68" s="46">
        <v>2</v>
      </c>
      <c r="F68">
        <v>1</v>
      </c>
      <c r="G68" s="33">
        <v>0</v>
      </c>
      <c r="H68">
        <v>67</v>
      </c>
      <c r="K68" s="10"/>
      <c r="L68" s="11" t="s">
        <v>122</v>
      </c>
      <c r="M68" s="46">
        <v>5</v>
      </c>
      <c r="N68">
        <v>2</v>
      </c>
      <c r="O68" s="33">
        <v>2069</v>
      </c>
      <c r="P68">
        <v>67</v>
      </c>
      <c r="T68" s="16"/>
      <c r="U68" s="32" t="s">
        <v>343</v>
      </c>
      <c r="V68">
        <v>3</v>
      </c>
      <c r="W68" s="33"/>
      <c r="X68" t="s">
        <v>414</v>
      </c>
      <c r="Y68">
        <v>67</v>
      </c>
      <c r="AA68" s="15"/>
      <c r="AB68" s="30" t="s">
        <v>278</v>
      </c>
    </row>
    <row r="69" spans="3:28" x14ac:dyDescent="0.2">
      <c r="C69" s="24"/>
      <c r="D69" s="25" t="s">
        <v>309</v>
      </c>
      <c r="E69" s="46">
        <v>2</v>
      </c>
      <c r="F69">
        <v>1</v>
      </c>
      <c r="G69" s="33">
        <v>0</v>
      </c>
      <c r="H69">
        <v>68</v>
      </c>
      <c r="K69" s="10"/>
      <c r="L69" s="36" t="s">
        <v>125</v>
      </c>
      <c r="M69" s="46">
        <v>5</v>
      </c>
      <c r="N69">
        <v>2</v>
      </c>
      <c r="O69" s="33">
        <v>186</v>
      </c>
      <c r="P69">
        <v>68</v>
      </c>
      <c r="T69" s="16"/>
      <c r="U69" s="32" t="s">
        <v>350</v>
      </c>
      <c r="V69">
        <v>3</v>
      </c>
      <c r="W69" s="33"/>
      <c r="X69" t="s">
        <v>414</v>
      </c>
      <c r="Y69">
        <v>68</v>
      </c>
      <c r="AA69" s="15"/>
      <c r="AB69" s="30" t="s">
        <v>279</v>
      </c>
    </row>
    <row r="70" spans="3:28" x14ac:dyDescent="0.2">
      <c r="C70" s="24"/>
      <c r="D70" s="41" t="s">
        <v>310</v>
      </c>
      <c r="E70" s="46">
        <v>2</v>
      </c>
      <c r="F70">
        <v>1</v>
      </c>
      <c r="G70" s="33">
        <v>0</v>
      </c>
      <c r="H70">
        <v>69</v>
      </c>
      <c r="K70" s="10"/>
      <c r="L70" s="36" t="s">
        <v>127</v>
      </c>
      <c r="M70" s="46">
        <v>5</v>
      </c>
      <c r="N70">
        <v>2</v>
      </c>
      <c r="O70" s="33">
        <v>310</v>
      </c>
      <c r="P70">
        <v>69</v>
      </c>
      <c r="T70" s="16"/>
      <c r="U70" s="32" t="s">
        <v>364</v>
      </c>
      <c r="V70">
        <v>3</v>
      </c>
      <c r="W70" s="33"/>
      <c r="X70" t="s">
        <v>414</v>
      </c>
      <c r="Y70">
        <v>69</v>
      </c>
      <c r="AA70" s="15"/>
      <c r="AB70" s="30" t="s">
        <v>280</v>
      </c>
    </row>
    <row r="71" spans="3:28" x14ac:dyDescent="0.2">
      <c r="C71" s="24"/>
      <c r="D71" s="41" t="s">
        <v>311</v>
      </c>
      <c r="E71" s="46">
        <v>2</v>
      </c>
      <c r="F71">
        <v>1</v>
      </c>
      <c r="G71" s="33">
        <v>0</v>
      </c>
      <c r="H71">
        <v>70</v>
      </c>
      <c r="K71" s="10"/>
      <c r="L71" s="36" t="s">
        <v>129</v>
      </c>
      <c r="M71" s="46">
        <v>5</v>
      </c>
      <c r="N71">
        <v>2</v>
      </c>
      <c r="O71" s="33">
        <v>87</v>
      </c>
      <c r="P71">
        <v>70</v>
      </c>
      <c r="T71" s="16"/>
      <c r="U71" s="32" t="s">
        <v>370</v>
      </c>
      <c r="V71">
        <v>3</v>
      </c>
      <c r="W71" s="33"/>
      <c r="X71" t="s">
        <v>414</v>
      </c>
      <c r="Y71">
        <v>70</v>
      </c>
      <c r="AA71" s="15"/>
      <c r="AB71" s="30" t="s">
        <v>281</v>
      </c>
    </row>
    <row r="72" spans="3:28" x14ac:dyDescent="0.2">
      <c r="C72" s="24"/>
      <c r="D72" s="25" t="s">
        <v>318</v>
      </c>
      <c r="E72" s="46">
        <v>2</v>
      </c>
      <c r="F72">
        <v>1</v>
      </c>
      <c r="G72" s="33">
        <v>0</v>
      </c>
      <c r="H72">
        <v>71</v>
      </c>
      <c r="K72" s="10"/>
      <c r="L72" s="36" t="s">
        <v>130</v>
      </c>
      <c r="M72" s="46">
        <v>5</v>
      </c>
      <c r="N72">
        <v>2</v>
      </c>
      <c r="O72" s="33">
        <v>26392</v>
      </c>
      <c r="P72">
        <v>71</v>
      </c>
      <c r="U72" s="46" t="s">
        <v>175</v>
      </c>
      <c r="V72" s="46">
        <v>3</v>
      </c>
      <c r="W72">
        <v>2</v>
      </c>
      <c r="X72" s="33">
        <v>6406</v>
      </c>
      <c r="Y72">
        <v>26</v>
      </c>
      <c r="AA72" s="15"/>
      <c r="AB72" s="30" t="s">
        <v>282</v>
      </c>
    </row>
    <row r="73" spans="3:28" x14ac:dyDescent="0.2">
      <c r="C73" s="24"/>
      <c r="D73" s="41" t="s">
        <v>327</v>
      </c>
      <c r="E73" s="46">
        <v>2</v>
      </c>
      <c r="F73">
        <v>1</v>
      </c>
      <c r="G73" s="33">
        <v>0</v>
      </c>
      <c r="H73">
        <v>72</v>
      </c>
      <c r="K73" s="10"/>
      <c r="L73" s="36" t="s">
        <v>131</v>
      </c>
      <c r="M73" s="46">
        <v>5</v>
      </c>
      <c r="N73">
        <v>2</v>
      </c>
      <c r="O73" s="33">
        <v>566</v>
      </c>
      <c r="P73">
        <v>72</v>
      </c>
      <c r="U73" s="46" t="s">
        <v>176</v>
      </c>
      <c r="V73" s="46">
        <v>3</v>
      </c>
      <c r="W73">
        <v>2</v>
      </c>
      <c r="X73" s="33">
        <v>1997</v>
      </c>
      <c r="Y73">
        <v>27</v>
      </c>
      <c r="AA73" s="15"/>
      <c r="AB73" s="30" t="s">
        <v>283</v>
      </c>
    </row>
    <row r="74" spans="3:28" x14ac:dyDescent="0.2">
      <c r="C74" s="16"/>
      <c r="D74" s="32" t="s">
        <v>336</v>
      </c>
      <c r="E74" s="46">
        <v>3</v>
      </c>
      <c r="F74">
        <v>1</v>
      </c>
      <c r="G74" s="33">
        <v>0</v>
      </c>
      <c r="H74">
        <v>73</v>
      </c>
      <c r="K74" s="10"/>
      <c r="L74" s="36" t="s">
        <v>132</v>
      </c>
      <c r="M74" s="46">
        <v>5</v>
      </c>
      <c r="N74">
        <v>2</v>
      </c>
      <c r="O74" s="33">
        <v>1888</v>
      </c>
      <c r="P74">
        <v>73</v>
      </c>
      <c r="U74" s="46" t="s">
        <v>184</v>
      </c>
      <c r="V74" s="46">
        <v>4</v>
      </c>
      <c r="W74">
        <v>2</v>
      </c>
      <c r="X74" s="33">
        <v>9</v>
      </c>
      <c r="Y74">
        <v>30</v>
      </c>
      <c r="AA74" s="15"/>
      <c r="AB74" s="30" t="s">
        <v>284</v>
      </c>
    </row>
    <row r="75" spans="3:28" x14ac:dyDescent="0.2">
      <c r="C75" s="16"/>
      <c r="D75" s="32" t="s">
        <v>341</v>
      </c>
      <c r="E75" s="46">
        <v>3</v>
      </c>
      <c r="F75">
        <v>1</v>
      </c>
      <c r="G75" s="33">
        <v>0</v>
      </c>
      <c r="H75">
        <v>74</v>
      </c>
      <c r="K75" s="10"/>
      <c r="L75" s="36" t="s">
        <v>134</v>
      </c>
      <c r="M75" s="46">
        <v>5</v>
      </c>
      <c r="N75">
        <v>2</v>
      </c>
      <c r="O75" s="33">
        <v>4487</v>
      </c>
      <c r="P75">
        <v>74</v>
      </c>
      <c r="U75" s="46" t="s">
        <v>168</v>
      </c>
      <c r="V75" s="46">
        <v>5</v>
      </c>
      <c r="W75" s="44">
        <v>2</v>
      </c>
      <c r="X75" s="48">
        <v>256</v>
      </c>
      <c r="Y75" s="44">
        <v>35</v>
      </c>
      <c r="AA75" s="15"/>
      <c r="AB75" s="30" t="s">
        <v>285</v>
      </c>
    </row>
    <row r="76" spans="3:28" x14ac:dyDescent="0.2">
      <c r="C76" s="16"/>
      <c r="D76" s="35" t="s">
        <v>346</v>
      </c>
      <c r="E76" s="46">
        <v>3</v>
      </c>
      <c r="F76">
        <v>1</v>
      </c>
      <c r="G76" s="33">
        <v>0</v>
      </c>
      <c r="H76">
        <v>75</v>
      </c>
      <c r="K76" s="10"/>
      <c r="L76" s="36" t="s">
        <v>136</v>
      </c>
      <c r="M76" s="46">
        <v>5</v>
      </c>
      <c r="N76">
        <v>2</v>
      </c>
      <c r="O76" s="33">
        <v>321</v>
      </c>
      <c r="P76">
        <v>75</v>
      </c>
      <c r="U76" s="46" t="s">
        <v>186</v>
      </c>
      <c r="V76" s="46">
        <v>5</v>
      </c>
      <c r="W76" s="44">
        <v>2</v>
      </c>
      <c r="X76" s="48">
        <v>10</v>
      </c>
      <c r="Y76" s="44">
        <v>36</v>
      </c>
      <c r="AA76" s="15"/>
      <c r="AB76" s="30" t="s">
        <v>286</v>
      </c>
    </row>
    <row r="77" spans="3:28" x14ac:dyDescent="0.2">
      <c r="C77" s="16"/>
      <c r="D77" s="35" t="s">
        <v>347</v>
      </c>
      <c r="E77" s="46">
        <v>3</v>
      </c>
      <c r="F77">
        <v>1</v>
      </c>
      <c r="G77" s="33">
        <v>0</v>
      </c>
      <c r="H77">
        <v>76</v>
      </c>
      <c r="K77" s="10"/>
      <c r="L77" s="36" t="s">
        <v>139</v>
      </c>
      <c r="M77" s="46">
        <v>5</v>
      </c>
      <c r="N77">
        <v>2</v>
      </c>
      <c r="O77" s="33">
        <v>215</v>
      </c>
      <c r="P77">
        <v>76</v>
      </c>
      <c r="AA77" s="15"/>
      <c r="AB77" s="30" t="s">
        <v>287</v>
      </c>
    </row>
    <row r="78" spans="3:28" x14ac:dyDescent="0.2">
      <c r="C78" s="16"/>
      <c r="D78" s="32" t="s">
        <v>348</v>
      </c>
      <c r="E78" s="46">
        <v>3</v>
      </c>
      <c r="F78">
        <v>1</v>
      </c>
      <c r="G78" s="33">
        <v>0</v>
      </c>
      <c r="H78">
        <v>77</v>
      </c>
      <c r="K78" s="14"/>
      <c r="L78" s="12" t="s">
        <v>141</v>
      </c>
      <c r="M78" s="46">
        <v>5</v>
      </c>
      <c r="N78">
        <v>2</v>
      </c>
      <c r="O78" s="33">
        <v>389</v>
      </c>
      <c r="P78">
        <v>77</v>
      </c>
      <c r="AA78" s="15"/>
      <c r="AB78" s="30" t="s">
        <v>288</v>
      </c>
    </row>
    <row r="79" spans="3:28" x14ac:dyDescent="0.2">
      <c r="C79" s="16"/>
      <c r="D79" s="35" t="s">
        <v>349</v>
      </c>
      <c r="E79" s="46">
        <v>3</v>
      </c>
      <c r="F79">
        <v>1</v>
      </c>
      <c r="G79" s="33">
        <v>0</v>
      </c>
      <c r="H79">
        <v>78</v>
      </c>
      <c r="K79" s="14"/>
      <c r="L79" s="12" t="s">
        <v>142</v>
      </c>
      <c r="M79" s="46">
        <v>5</v>
      </c>
      <c r="N79">
        <v>2</v>
      </c>
      <c r="O79" s="33">
        <v>2392</v>
      </c>
      <c r="P79">
        <v>78</v>
      </c>
      <c r="AA79" s="15"/>
      <c r="AB79" s="30" t="s">
        <v>289</v>
      </c>
    </row>
    <row r="80" spans="3:28" x14ac:dyDescent="0.2">
      <c r="C80" s="16"/>
      <c r="D80" s="35" t="s">
        <v>352</v>
      </c>
      <c r="E80" s="46">
        <v>3</v>
      </c>
      <c r="F80">
        <v>1</v>
      </c>
      <c r="G80" s="33">
        <v>0</v>
      </c>
      <c r="H80">
        <v>79</v>
      </c>
      <c r="K80" s="14"/>
      <c r="L80" s="12" t="s">
        <v>143</v>
      </c>
      <c r="M80" s="46">
        <v>5</v>
      </c>
      <c r="N80">
        <v>2</v>
      </c>
      <c r="O80" s="33">
        <v>357</v>
      </c>
      <c r="P80">
        <v>79</v>
      </c>
      <c r="AA80" s="15"/>
      <c r="AB80" s="30" t="s">
        <v>290</v>
      </c>
    </row>
    <row r="81" spans="3:28" x14ac:dyDescent="0.2">
      <c r="C81" s="16"/>
      <c r="D81" s="32" t="s">
        <v>358</v>
      </c>
      <c r="E81" s="46">
        <v>3</v>
      </c>
      <c r="F81">
        <v>1</v>
      </c>
      <c r="G81" s="33">
        <v>0</v>
      </c>
      <c r="H81">
        <v>80</v>
      </c>
      <c r="K81" s="14"/>
      <c r="L81" s="12" t="s">
        <v>145</v>
      </c>
      <c r="M81" s="46">
        <v>5</v>
      </c>
      <c r="N81">
        <v>2</v>
      </c>
      <c r="O81" s="33">
        <v>658</v>
      </c>
      <c r="P81">
        <v>80</v>
      </c>
      <c r="AA81" s="15"/>
      <c r="AB81" s="30" t="s">
        <v>291</v>
      </c>
    </row>
    <row r="82" spans="3:28" x14ac:dyDescent="0.2">
      <c r="C82" s="16"/>
      <c r="D82" s="35" t="s">
        <v>360</v>
      </c>
      <c r="E82" s="46">
        <v>3</v>
      </c>
      <c r="F82">
        <v>1</v>
      </c>
      <c r="G82" s="33">
        <v>0</v>
      </c>
      <c r="H82">
        <v>81</v>
      </c>
      <c r="K82" s="14"/>
      <c r="L82" s="12" t="s">
        <v>146</v>
      </c>
      <c r="M82" s="46">
        <v>5</v>
      </c>
      <c r="N82">
        <v>2</v>
      </c>
      <c r="O82" s="33">
        <v>2052</v>
      </c>
      <c r="P82">
        <v>81</v>
      </c>
      <c r="AA82" s="15"/>
      <c r="AB82" s="30" t="s">
        <v>292</v>
      </c>
    </row>
    <row r="83" spans="3:28" x14ac:dyDescent="0.2">
      <c r="C83" s="16"/>
      <c r="D83" s="35" t="s">
        <v>376</v>
      </c>
      <c r="E83" s="46">
        <v>3</v>
      </c>
      <c r="F83">
        <v>1</v>
      </c>
      <c r="G83" s="33">
        <v>0</v>
      </c>
      <c r="H83">
        <v>82</v>
      </c>
      <c r="K83" s="14"/>
      <c r="L83" s="12" t="s">
        <v>148</v>
      </c>
      <c r="M83" s="46">
        <v>5</v>
      </c>
      <c r="N83">
        <v>2</v>
      </c>
      <c r="O83" s="33">
        <v>6320</v>
      </c>
      <c r="P83">
        <v>82</v>
      </c>
    </row>
    <row r="84" spans="3:28" x14ac:dyDescent="0.2">
      <c r="C84" s="3"/>
      <c r="D84" s="23" t="s">
        <v>387</v>
      </c>
      <c r="E84" s="46">
        <v>4</v>
      </c>
      <c r="F84">
        <v>1</v>
      </c>
      <c r="G84" s="33">
        <v>0</v>
      </c>
      <c r="H84">
        <v>83</v>
      </c>
      <c r="K84" s="14"/>
      <c r="L84" s="12" t="s">
        <v>149</v>
      </c>
      <c r="M84" s="46">
        <v>5</v>
      </c>
      <c r="N84">
        <v>2</v>
      </c>
      <c r="O84" s="33">
        <v>204</v>
      </c>
      <c r="P84">
        <v>83</v>
      </c>
    </row>
    <row r="85" spans="3:28" x14ac:dyDescent="0.2">
      <c r="C85" s="3"/>
      <c r="D85" s="39" t="s">
        <v>390</v>
      </c>
      <c r="E85" s="46">
        <v>4</v>
      </c>
      <c r="F85">
        <v>1</v>
      </c>
      <c r="G85" s="33">
        <v>0</v>
      </c>
      <c r="H85">
        <v>84</v>
      </c>
      <c r="K85" s="14"/>
      <c r="L85" s="12" t="s">
        <v>150</v>
      </c>
      <c r="M85" s="46">
        <v>5</v>
      </c>
      <c r="N85">
        <v>2</v>
      </c>
      <c r="O85" s="33">
        <v>174</v>
      </c>
      <c r="P85">
        <v>84</v>
      </c>
    </row>
    <row r="86" spans="3:28" x14ac:dyDescent="0.2">
      <c r="C86" s="3"/>
      <c r="D86" s="39" t="s">
        <v>394</v>
      </c>
      <c r="E86" s="46">
        <v>4</v>
      </c>
      <c r="F86">
        <v>1</v>
      </c>
      <c r="G86" s="33">
        <v>0</v>
      </c>
      <c r="H86">
        <v>85</v>
      </c>
      <c r="K86" s="14"/>
      <c r="L86" s="12" t="s">
        <v>153</v>
      </c>
      <c r="M86" s="46">
        <v>5</v>
      </c>
      <c r="N86">
        <v>2</v>
      </c>
      <c r="O86" s="33">
        <v>1297</v>
      </c>
      <c r="P86">
        <v>85</v>
      </c>
    </row>
    <row r="87" spans="3:28" x14ac:dyDescent="0.2">
      <c r="C87" s="3"/>
      <c r="D87" s="39" t="s">
        <v>399</v>
      </c>
      <c r="E87" s="46">
        <v>4</v>
      </c>
      <c r="F87">
        <v>1</v>
      </c>
      <c r="G87" s="33">
        <v>0</v>
      </c>
      <c r="H87">
        <v>86</v>
      </c>
      <c r="K87" s="14"/>
      <c r="L87" s="12" t="s">
        <v>156</v>
      </c>
      <c r="M87" s="46">
        <v>5</v>
      </c>
      <c r="N87">
        <v>2</v>
      </c>
      <c r="O87" s="33">
        <v>15</v>
      </c>
      <c r="P87">
        <v>86</v>
      </c>
    </row>
    <row r="88" spans="3:28" x14ac:dyDescent="0.2">
      <c r="C88" s="3"/>
      <c r="D88" s="23" t="s">
        <v>401</v>
      </c>
      <c r="E88" s="46">
        <v>4</v>
      </c>
      <c r="F88">
        <v>1</v>
      </c>
      <c r="G88" s="33">
        <v>0</v>
      </c>
      <c r="H88">
        <v>87</v>
      </c>
      <c r="K88" s="14"/>
      <c r="L88" s="12" t="s">
        <v>162</v>
      </c>
      <c r="M88" s="46">
        <v>5</v>
      </c>
      <c r="N88">
        <v>2</v>
      </c>
      <c r="O88" s="33">
        <v>3545</v>
      </c>
      <c r="P88">
        <v>87</v>
      </c>
    </row>
    <row r="89" spans="3:28" x14ac:dyDescent="0.2">
      <c r="C89" s="3"/>
      <c r="D89" s="39" t="s">
        <v>405</v>
      </c>
      <c r="E89" s="46">
        <v>4</v>
      </c>
      <c r="F89">
        <v>1</v>
      </c>
      <c r="G89" s="33">
        <v>0</v>
      </c>
      <c r="H89">
        <v>88</v>
      </c>
      <c r="K89" s="14"/>
      <c r="L89" s="12" t="s">
        <v>166</v>
      </c>
      <c r="M89" s="46">
        <v>5</v>
      </c>
      <c r="N89">
        <v>2</v>
      </c>
      <c r="O89" s="33">
        <v>64</v>
      </c>
      <c r="P89">
        <v>88</v>
      </c>
    </row>
    <row r="90" spans="3:28" x14ac:dyDescent="0.2">
      <c r="C90" s="3"/>
      <c r="D90" s="39" t="s">
        <v>406</v>
      </c>
      <c r="E90" s="46">
        <v>4</v>
      </c>
      <c r="F90">
        <v>1</v>
      </c>
      <c r="G90" s="33">
        <v>0</v>
      </c>
      <c r="H90">
        <v>89</v>
      </c>
      <c r="K90" s="17"/>
      <c r="L90" s="45" t="s">
        <v>168</v>
      </c>
      <c r="M90" s="46">
        <v>5</v>
      </c>
      <c r="N90">
        <v>2</v>
      </c>
      <c r="O90" s="33">
        <v>256</v>
      </c>
      <c r="P90">
        <v>89</v>
      </c>
    </row>
    <row r="91" spans="3:28" x14ac:dyDescent="0.2">
      <c r="C91" s="3"/>
      <c r="D91" s="39" t="s">
        <v>413</v>
      </c>
      <c r="E91" s="46">
        <v>4</v>
      </c>
      <c r="F91">
        <v>1</v>
      </c>
      <c r="G91" s="33">
        <v>0</v>
      </c>
      <c r="H91">
        <v>90</v>
      </c>
      <c r="K91" s="18"/>
      <c r="L91" s="43" t="s">
        <v>175</v>
      </c>
      <c r="M91" s="46">
        <v>3</v>
      </c>
      <c r="N91">
        <v>2</v>
      </c>
      <c r="O91" s="33">
        <v>6406</v>
      </c>
      <c r="P91">
        <v>90</v>
      </c>
    </row>
    <row r="92" spans="3:28" x14ac:dyDescent="0.2">
      <c r="K92" s="18"/>
      <c r="L92" s="43" t="s">
        <v>176</v>
      </c>
      <c r="M92" s="46">
        <v>3</v>
      </c>
      <c r="N92">
        <v>2</v>
      </c>
      <c r="O92" s="33">
        <v>1997</v>
      </c>
      <c r="P92">
        <v>91</v>
      </c>
    </row>
    <row r="93" spans="3:28" x14ac:dyDescent="0.2">
      <c r="K93" s="19"/>
      <c r="L93" s="40" t="s">
        <v>184</v>
      </c>
      <c r="M93" s="46">
        <v>4</v>
      </c>
      <c r="N93">
        <v>2</v>
      </c>
      <c r="O93" s="33">
        <v>9</v>
      </c>
      <c r="P93">
        <v>92</v>
      </c>
    </row>
    <row r="94" spans="3:28" x14ac:dyDescent="0.2">
      <c r="K94" s="21"/>
      <c r="L94" s="42" t="s">
        <v>186</v>
      </c>
      <c r="M94" s="46">
        <v>5</v>
      </c>
      <c r="N94">
        <v>2</v>
      </c>
      <c r="O94" s="33">
        <v>10</v>
      </c>
      <c r="P94">
        <v>93</v>
      </c>
    </row>
    <row r="95" spans="3:28" x14ac:dyDescent="0.2">
      <c r="K95" s="8"/>
      <c r="L95" s="9" t="s">
        <v>231</v>
      </c>
      <c r="M95" s="46">
        <v>4</v>
      </c>
      <c r="N95">
        <v>2</v>
      </c>
      <c r="O95" s="33">
        <v>6904</v>
      </c>
      <c r="P95">
        <v>94</v>
      </c>
    </row>
    <row r="96" spans="3:28" x14ac:dyDescent="0.2">
      <c r="K96" s="8"/>
      <c r="L96" s="9" t="s">
        <v>232</v>
      </c>
      <c r="M96" s="46">
        <v>4</v>
      </c>
      <c r="N96">
        <v>2</v>
      </c>
      <c r="O96" s="33">
        <v>3535</v>
      </c>
      <c r="P96">
        <v>95</v>
      </c>
    </row>
    <row r="97" spans="11:16" x14ac:dyDescent="0.2">
      <c r="K97" s="8"/>
      <c r="L97" s="9" t="s">
        <v>233</v>
      </c>
      <c r="M97" s="46">
        <v>4</v>
      </c>
      <c r="N97">
        <v>2</v>
      </c>
      <c r="O97" s="33">
        <v>3402</v>
      </c>
      <c r="P97">
        <v>96</v>
      </c>
    </row>
    <row r="98" spans="11:16" x14ac:dyDescent="0.2">
      <c r="K98" s="8"/>
      <c r="L98" s="9" t="s">
        <v>234</v>
      </c>
      <c r="M98" s="46">
        <v>4</v>
      </c>
      <c r="N98">
        <v>2</v>
      </c>
      <c r="O98" s="33">
        <v>5959</v>
      </c>
      <c r="P98">
        <v>97</v>
      </c>
    </row>
    <row r="99" spans="11:16" x14ac:dyDescent="0.2">
      <c r="K99" s="8"/>
      <c r="L99" s="9" t="s">
        <v>235</v>
      </c>
      <c r="M99" s="46">
        <v>4</v>
      </c>
      <c r="N99">
        <v>2</v>
      </c>
      <c r="O99" s="33">
        <v>2456</v>
      </c>
      <c r="P99">
        <v>98</v>
      </c>
    </row>
    <row r="100" spans="11:16" x14ac:dyDescent="0.2">
      <c r="K100" s="8"/>
      <c r="L100" s="9" t="s">
        <v>236</v>
      </c>
      <c r="M100" s="46">
        <v>4</v>
      </c>
      <c r="N100">
        <v>2</v>
      </c>
      <c r="O100" s="33">
        <v>8829</v>
      </c>
      <c r="P100">
        <v>99</v>
      </c>
    </row>
    <row r="101" spans="11:16" x14ac:dyDescent="0.2">
      <c r="K101" s="8"/>
      <c r="L101" s="9" t="s">
        <v>238</v>
      </c>
      <c r="M101" s="46">
        <v>4</v>
      </c>
      <c r="N101">
        <v>2</v>
      </c>
      <c r="O101" s="33">
        <v>6794</v>
      </c>
      <c r="P101">
        <v>100</v>
      </c>
    </row>
    <row r="102" spans="11:16" x14ac:dyDescent="0.2">
      <c r="K102" s="8"/>
      <c r="L102" s="9" t="s">
        <v>239</v>
      </c>
      <c r="M102" s="46">
        <v>4</v>
      </c>
      <c r="N102">
        <v>2</v>
      </c>
      <c r="O102" s="33">
        <v>2138</v>
      </c>
      <c r="P102">
        <v>101</v>
      </c>
    </row>
    <row r="103" spans="11:16" x14ac:dyDescent="0.2">
      <c r="K103" s="8"/>
      <c r="L103" s="9" t="s">
        <v>240</v>
      </c>
      <c r="M103" s="46">
        <v>4</v>
      </c>
      <c r="N103">
        <v>2</v>
      </c>
      <c r="O103" s="33">
        <v>2093</v>
      </c>
      <c r="P103">
        <v>102</v>
      </c>
    </row>
    <row r="104" spans="11:16" x14ac:dyDescent="0.2">
      <c r="K104" s="8"/>
      <c r="L104" s="9" t="s">
        <v>241</v>
      </c>
      <c r="M104" s="46">
        <v>4</v>
      </c>
      <c r="N104">
        <v>2</v>
      </c>
      <c r="O104" s="33">
        <v>744</v>
      </c>
      <c r="P104">
        <v>103</v>
      </c>
    </row>
    <row r="105" spans="11:16" x14ac:dyDescent="0.2">
      <c r="K105" s="8"/>
      <c r="L105" s="9" t="s">
        <v>242</v>
      </c>
      <c r="M105" s="46">
        <v>4</v>
      </c>
      <c r="N105">
        <v>2</v>
      </c>
      <c r="O105" s="33">
        <v>6041</v>
      </c>
      <c r="P105">
        <v>104</v>
      </c>
    </row>
    <row r="106" spans="11:16" x14ac:dyDescent="0.2">
      <c r="K106" s="8"/>
      <c r="L106" s="9" t="s">
        <v>243</v>
      </c>
      <c r="M106" s="46">
        <v>4</v>
      </c>
      <c r="N106">
        <v>2</v>
      </c>
      <c r="O106" s="33">
        <v>2036</v>
      </c>
      <c r="P106">
        <v>105</v>
      </c>
    </row>
    <row r="107" spans="11:16" x14ac:dyDescent="0.2">
      <c r="K107" s="8"/>
      <c r="L107" s="9" t="s">
        <v>245</v>
      </c>
      <c r="M107" s="46">
        <v>4</v>
      </c>
      <c r="N107">
        <v>2</v>
      </c>
      <c r="O107" s="33">
        <v>10450</v>
      </c>
      <c r="P107">
        <v>106</v>
      </c>
    </row>
    <row r="108" spans="11:16" x14ac:dyDescent="0.2">
      <c r="K108" s="8"/>
      <c r="L108" s="9" t="s">
        <v>246</v>
      </c>
      <c r="M108" s="46">
        <v>4</v>
      </c>
      <c r="N108">
        <v>2</v>
      </c>
      <c r="O108" s="33">
        <v>3116</v>
      </c>
      <c r="P108">
        <v>107</v>
      </c>
    </row>
    <row r="109" spans="11:16" x14ac:dyDescent="0.2">
      <c r="K109" s="8"/>
      <c r="L109" s="9" t="s">
        <v>248</v>
      </c>
      <c r="M109" s="46">
        <v>4</v>
      </c>
      <c r="N109">
        <v>2</v>
      </c>
      <c r="O109" s="33">
        <v>1030</v>
      </c>
      <c r="P109">
        <v>108</v>
      </c>
    </row>
    <row r="110" spans="11:16" x14ac:dyDescent="0.2">
      <c r="K110" s="8"/>
      <c r="L110" s="9" t="s">
        <v>249</v>
      </c>
      <c r="M110" s="46">
        <v>4</v>
      </c>
      <c r="N110">
        <v>2</v>
      </c>
      <c r="O110" s="33">
        <v>2566</v>
      </c>
      <c r="P110">
        <v>109</v>
      </c>
    </row>
    <row r="111" spans="11:16" x14ac:dyDescent="0.2">
      <c r="K111" s="8"/>
      <c r="L111" s="9" t="s">
        <v>251</v>
      </c>
      <c r="M111" s="46">
        <v>4</v>
      </c>
      <c r="N111">
        <v>2</v>
      </c>
      <c r="O111" s="33">
        <v>551</v>
      </c>
      <c r="P111">
        <v>110</v>
      </c>
    </row>
    <row r="112" spans="11:16" x14ac:dyDescent="0.2">
      <c r="K112" s="8"/>
      <c r="L112" s="9" t="s">
        <v>253</v>
      </c>
      <c r="M112" s="46">
        <v>4</v>
      </c>
      <c r="N112">
        <v>2</v>
      </c>
      <c r="O112" s="33">
        <v>2499</v>
      </c>
      <c r="P112">
        <v>111</v>
      </c>
    </row>
    <row r="113" spans="11:16" x14ac:dyDescent="0.2">
      <c r="K113" s="28"/>
      <c r="L113" s="29" t="s">
        <v>255</v>
      </c>
      <c r="M113" s="46">
        <v>6</v>
      </c>
      <c r="N113">
        <v>2</v>
      </c>
      <c r="O113" s="33">
        <v>543</v>
      </c>
      <c r="P113">
        <v>112</v>
      </c>
    </row>
    <row r="114" spans="11:16" x14ac:dyDescent="0.2">
      <c r="K114" s="28"/>
      <c r="L114" s="29" t="s">
        <v>256</v>
      </c>
      <c r="M114" s="46">
        <v>6</v>
      </c>
      <c r="N114">
        <v>2</v>
      </c>
      <c r="O114" s="33">
        <v>4501</v>
      </c>
      <c r="P114">
        <v>113</v>
      </c>
    </row>
    <row r="115" spans="11:16" x14ac:dyDescent="0.2">
      <c r="K115" s="28"/>
      <c r="L115" s="29" t="s">
        <v>258</v>
      </c>
      <c r="M115" s="46">
        <v>6</v>
      </c>
      <c r="N115">
        <v>2</v>
      </c>
      <c r="O115" s="33">
        <v>834</v>
      </c>
      <c r="P115">
        <v>114</v>
      </c>
    </row>
    <row r="116" spans="11:16" x14ac:dyDescent="0.2">
      <c r="K116" s="28"/>
      <c r="L116" s="29" t="s">
        <v>263</v>
      </c>
      <c r="M116" s="46">
        <v>6</v>
      </c>
      <c r="N116">
        <v>2</v>
      </c>
      <c r="O116" s="33">
        <v>17171</v>
      </c>
      <c r="P116">
        <v>115</v>
      </c>
    </row>
    <row r="117" spans="11:16" x14ac:dyDescent="0.2">
      <c r="K117" s="28"/>
      <c r="L117" s="29" t="s">
        <v>265</v>
      </c>
      <c r="M117" s="46">
        <v>6</v>
      </c>
      <c r="N117">
        <v>2</v>
      </c>
      <c r="O117" s="33">
        <v>4251</v>
      </c>
      <c r="P117">
        <v>116</v>
      </c>
    </row>
    <row r="118" spans="11:16" x14ac:dyDescent="0.2">
      <c r="K118" s="28"/>
      <c r="L118" s="29" t="s">
        <v>266</v>
      </c>
      <c r="M118" s="46">
        <v>6</v>
      </c>
      <c r="N118">
        <v>2</v>
      </c>
      <c r="O118" s="33">
        <v>750</v>
      </c>
      <c r="P118">
        <v>117</v>
      </c>
    </row>
    <row r="119" spans="11:16" x14ac:dyDescent="0.2">
      <c r="K119" s="28"/>
      <c r="L119" s="29" t="s">
        <v>267</v>
      </c>
      <c r="M119" s="46">
        <v>6</v>
      </c>
      <c r="N119">
        <v>2</v>
      </c>
      <c r="O119" s="33">
        <v>5411</v>
      </c>
      <c r="P119">
        <v>118</v>
      </c>
    </row>
    <row r="120" spans="11:16" x14ac:dyDescent="0.2">
      <c r="K120" s="28"/>
      <c r="L120" s="29" t="s">
        <v>269</v>
      </c>
      <c r="M120" s="46">
        <v>6</v>
      </c>
      <c r="N120">
        <v>2</v>
      </c>
      <c r="O120" s="33">
        <v>231</v>
      </c>
      <c r="P120">
        <v>119</v>
      </c>
    </row>
    <row r="121" spans="11:16" x14ac:dyDescent="0.2">
      <c r="K121" s="28"/>
      <c r="L121" s="29" t="s">
        <v>270</v>
      </c>
      <c r="M121" s="46">
        <v>6</v>
      </c>
      <c r="N121">
        <v>2</v>
      </c>
      <c r="O121" s="33">
        <v>149</v>
      </c>
      <c r="P121">
        <v>120</v>
      </c>
    </row>
    <row r="122" spans="11:16" x14ac:dyDescent="0.2">
      <c r="K122" s="28"/>
      <c r="L122" s="29" t="s">
        <v>272</v>
      </c>
      <c r="M122" s="46">
        <v>6</v>
      </c>
      <c r="N122">
        <v>2</v>
      </c>
      <c r="O122" s="33">
        <v>539</v>
      </c>
      <c r="P122">
        <v>121</v>
      </c>
    </row>
    <row r="123" spans="11:16" x14ac:dyDescent="0.2">
      <c r="K123" s="28"/>
      <c r="L123" s="29" t="s">
        <v>273</v>
      </c>
      <c r="M123" s="46">
        <v>6</v>
      </c>
      <c r="N123">
        <v>2</v>
      </c>
      <c r="O123" s="33">
        <v>2665</v>
      </c>
      <c r="P123">
        <v>122</v>
      </c>
    </row>
    <row r="124" spans="11:16" x14ac:dyDescent="0.2">
      <c r="K124" s="28"/>
      <c r="L124" s="29" t="s">
        <v>276</v>
      </c>
      <c r="M124" s="46">
        <v>6</v>
      </c>
      <c r="N124">
        <v>2</v>
      </c>
      <c r="O124" s="33">
        <v>120</v>
      </c>
      <c r="P124">
        <v>123</v>
      </c>
    </row>
    <row r="125" spans="11:16" x14ac:dyDescent="0.2">
      <c r="K125" s="28"/>
      <c r="L125" s="29" t="s">
        <v>278</v>
      </c>
      <c r="M125" s="46">
        <v>6</v>
      </c>
      <c r="N125">
        <v>2</v>
      </c>
      <c r="O125" s="33">
        <v>170</v>
      </c>
      <c r="P125">
        <v>124</v>
      </c>
    </row>
    <row r="126" spans="11:16" x14ac:dyDescent="0.2">
      <c r="K126" s="28"/>
      <c r="L126" s="29" t="s">
        <v>279</v>
      </c>
      <c r="M126" s="46">
        <v>6</v>
      </c>
      <c r="N126">
        <v>2</v>
      </c>
      <c r="O126" s="33">
        <v>5317</v>
      </c>
      <c r="P126">
        <v>125</v>
      </c>
    </row>
    <row r="127" spans="11:16" x14ac:dyDescent="0.2">
      <c r="K127" s="28"/>
      <c r="L127" s="29" t="s">
        <v>280</v>
      </c>
      <c r="M127" s="46">
        <v>6</v>
      </c>
      <c r="N127">
        <v>2</v>
      </c>
      <c r="O127" s="33">
        <v>109</v>
      </c>
      <c r="P127">
        <v>126</v>
      </c>
    </row>
    <row r="128" spans="11:16" x14ac:dyDescent="0.2">
      <c r="K128" s="28"/>
      <c r="L128" s="29" t="s">
        <v>284</v>
      </c>
      <c r="M128" s="46">
        <v>6</v>
      </c>
      <c r="N128">
        <v>2</v>
      </c>
      <c r="O128" s="33">
        <v>5763</v>
      </c>
      <c r="P128">
        <v>127</v>
      </c>
    </row>
    <row r="129" spans="11:16" x14ac:dyDescent="0.2">
      <c r="K129" s="28"/>
      <c r="L129" s="29" t="s">
        <v>285</v>
      </c>
      <c r="M129" s="46">
        <v>6</v>
      </c>
      <c r="N129">
        <v>2</v>
      </c>
      <c r="O129" s="33">
        <v>743</v>
      </c>
      <c r="P129">
        <v>128</v>
      </c>
    </row>
    <row r="130" spans="11:16" x14ac:dyDescent="0.2">
      <c r="K130" s="28"/>
      <c r="L130" s="29" t="s">
        <v>288</v>
      </c>
      <c r="M130" s="46">
        <v>6</v>
      </c>
      <c r="N130">
        <v>2</v>
      </c>
      <c r="O130" s="33">
        <v>505</v>
      </c>
      <c r="P130">
        <v>129</v>
      </c>
    </row>
    <row r="131" spans="11:16" x14ac:dyDescent="0.2">
      <c r="K131" s="28"/>
      <c r="L131" s="29" t="s">
        <v>291</v>
      </c>
      <c r="M131" s="46">
        <v>6</v>
      </c>
      <c r="N131">
        <v>2</v>
      </c>
      <c r="O131" s="33">
        <v>66</v>
      </c>
      <c r="P131">
        <v>130</v>
      </c>
    </row>
    <row r="132" spans="11:16" x14ac:dyDescent="0.2">
      <c r="K132" s="28"/>
      <c r="L132" s="29" t="s">
        <v>292</v>
      </c>
      <c r="M132" s="46">
        <v>6</v>
      </c>
      <c r="N132">
        <v>2</v>
      </c>
      <c r="O132" s="33">
        <v>12</v>
      </c>
      <c r="P132">
        <v>131</v>
      </c>
    </row>
    <row r="133" spans="11:16" x14ac:dyDescent="0.2">
      <c r="K133" s="13"/>
      <c r="L133" s="31" t="s">
        <v>294</v>
      </c>
      <c r="M133" s="46">
        <v>5</v>
      </c>
      <c r="N133">
        <v>2</v>
      </c>
      <c r="O133" s="33">
        <v>22</v>
      </c>
      <c r="P133">
        <v>132</v>
      </c>
    </row>
    <row r="134" spans="11:16" x14ac:dyDescent="0.2">
      <c r="K134" s="13"/>
      <c r="L134" s="31" t="s">
        <v>295</v>
      </c>
      <c r="M134" s="46">
        <v>5</v>
      </c>
      <c r="N134">
        <v>2</v>
      </c>
      <c r="O134" s="33">
        <v>3244</v>
      </c>
      <c r="P134">
        <v>133</v>
      </c>
    </row>
    <row r="135" spans="11:16" x14ac:dyDescent="0.2">
      <c r="K135" s="13"/>
      <c r="L135" s="31" t="s">
        <v>296</v>
      </c>
      <c r="M135" s="46">
        <v>5</v>
      </c>
      <c r="N135">
        <v>2</v>
      </c>
      <c r="O135" s="33">
        <v>164</v>
      </c>
      <c r="P135">
        <v>134</v>
      </c>
    </row>
    <row r="136" spans="11:16" x14ac:dyDescent="0.2">
      <c r="K136" s="24"/>
      <c r="L136" s="25" t="s">
        <v>301</v>
      </c>
      <c r="M136" s="46">
        <v>2</v>
      </c>
      <c r="N136">
        <v>2</v>
      </c>
      <c r="O136" s="33">
        <v>965</v>
      </c>
      <c r="P136">
        <v>135</v>
      </c>
    </row>
    <row r="137" spans="11:16" x14ac:dyDescent="0.2">
      <c r="K137" s="24"/>
      <c r="L137" s="25" t="s">
        <v>302</v>
      </c>
      <c r="M137" s="46">
        <v>2</v>
      </c>
      <c r="N137">
        <v>2</v>
      </c>
      <c r="O137" s="33">
        <v>691</v>
      </c>
      <c r="P137">
        <v>136</v>
      </c>
    </row>
    <row r="138" spans="11:16" x14ac:dyDescent="0.2">
      <c r="K138" s="24"/>
      <c r="L138" s="25" t="s">
        <v>308</v>
      </c>
      <c r="M138" s="46">
        <v>2</v>
      </c>
      <c r="N138">
        <v>2</v>
      </c>
      <c r="O138" s="33">
        <v>9562</v>
      </c>
      <c r="P138">
        <v>137</v>
      </c>
    </row>
    <row r="139" spans="11:16" x14ac:dyDescent="0.2">
      <c r="K139" s="24"/>
      <c r="L139" s="25" t="s">
        <v>312</v>
      </c>
      <c r="M139" s="46">
        <v>2</v>
      </c>
      <c r="N139">
        <v>2</v>
      </c>
      <c r="O139" s="33">
        <v>1816</v>
      </c>
      <c r="P139">
        <v>138</v>
      </c>
    </row>
    <row r="140" spans="11:16" x14ac:dyDescent="0.2">
      <c r="K140" s="24"/>
      <c r="L140" s="25" t="s">
        <v>313</v>
      </c>
      <c r="M140" s="46">
        <v>2</v>
      </c>
      <c r="N140">
        <v>2</v>
      </c>
      <c r="O140" s="33">
        <v>327</v>
      </c>
      <c r="P140">
        <v>139</v>
      </c>
    </row>
    <row r="141" spans="11:16" x14ac:dyDescent="0.2">
      <c r="K141" s="24"/>
      <c r="L141" s="25" t="s">
        <v>314</v>
      </c>
      <c r="M141" s="46">
        <v>2</v>
      </c>
      <c r="N141">
        <v>2</v>
      </c>
      <c r="O141" s="33">
        <v>344</v>
      </c>
      <c r="P141">
        <v>140</v>
      </c>
    </row>
    <row r="142" spans="11:16" x14ac:dyDescent="0.2">
      <c r="K142" s="24"/>
      <c r="L142" s="25" t="s">
        <v>316</v>
      </c>
      <c r="M142" s="46">
        <v>2</v>
      </c>
      <c r="N142">
        <v>2</v>
      </c>
      <c r="O142" s="33">
        <v>15</v>
      </c>
      <c r="P142">
        <v>141</v>
      </c>
    </row>
    <row r="143" spans="11:16" x14ac:dyDescent="0.2">
      <c r="K143" s="24"/>
      <c r="L143" s="25" t="s">
        <v>317</v>
      </c>
      <c r="M143" s="46">
        <v>2</v>
      </c>
      <c r="N143">
        <v>2</v>
      </c>
      <c r="O143" s="33">
        <v>12</v>
      </c>
      <c r="P143">
        <v>142</v>
      </c>
    </row>
    <row r="144" spans="11:16" x14ac:dyDescent="0.2">
      <c r="K144" s="24"/>
      <c r="L144" s="25" t="s">
        <v>319</v>
      </c>
      <c r="M144" s="46">
        <v>2</v>
      </c>
      <c r="N144">
        <v>2</v>
      </c>
      <c r="O144" s="33">
        <v>3355</v>
      </c>
      <c r="P144">
        <v>143</v>
      </c>
    </row>
    <row r="145" spans="11:16" x14ac:dyDescent="0.2">
      <c r="K145" s="24"/>
      <c r="L145" s="25" t="s">
        <v>320</v>
      </c>
      <c r="M145" s="46">
        <v>2</v>
      </c>
      <c r="N145">
        <v>2</v>
      </c>
      <c r="O145" s="33">
        <v>62</v>
      </c>
      <c r="P145">
        <v>144</v>
      </c>
    </row>
    <row r="146" spans="11:16" x14ac:dyDescent="0.2">
      <c r="K146" s="24"/>
      <c r="L146" s="25" t="s">
        <v>321</v>
      </c>
      <c r="M146" s="46">
        <v>2</v>
      </c>
      <c r="N146">
        <v>2</v>
      </c>
      <c r="O146" s="33">
        <v>801</v>
      </c>
      <c r="P146">
        <v>145</v>
      </c>
    </row>
    <row r="147" spans="11:16" x14ac:dyDescent="0.2">
      <c r="K147" s="24"/>
      <c r="L147" s="25" t="s">
        <v>322</v>
      </c>
      <c r="M147" s="46">
        <v>2</v>
      </c>
      <c r="N147">
        <v>2</v>
      </c>
      <c r="O147" s="33">
        <v>2553</v>
      </c>
      <c r="P147">
        <v>146</v>
      </c>
    </row>
    <row r="148" spans="11:16" x14ac:dyDescent="0.2">
      <c r="K148" s="24"/>
      <c r="L148" s="25" t="s">
        <v>324</v>
      </c>
      <c r="M148" s="46">
        <v>2</v>
      </c>
      <c r="N148">
        <v>2</v>
      </c>
      <c r="O148" s="33">
        <v>564</v>
      </c>
      <c r="P148">
        <v>147</v>
      </c>
    </row>
    <row r="149" spans="11:16" x14ac:dyDescent="0.2">
      <c r="K149" s="24"/>
      <c r="L149" s="25" t="s">
        <v>326</v>
      </c>
      <c r="M149" s="46">
        <v>2</v>
      </c>
      <c r="N149">
        <v>2</v>
      </c>
      <c r="O149" s="33">
        <v>61</v>
      </c>
      <c r="P149">
        <v>148</v>
      </c>
    </row>
    <row r="150" spans="11:16" x14ac:dyDescent="0.2">
      <c r="K150" s="24"/>
      <c r="L150" s="25" t="s">
        <v>328</v>
      </c>
      <c r="M150" s="46">
        <v>2</v>
      </c>
      <c r="N150">
        <v>2</v>
      </c>
      <c r="O150" s="33">
        <v>2574</v>
      </c>
      <c r="P150">
        <v>149</v>
      </c>
    </row>
    <row r="151" spans="11:16" x14ac:dyDescent="0.2">
      <c r="K151" s="24"/>
      <c r="L151" s="25" t="s">
        <v>330</v>
      </c>
      <c r="M151" s="46">
        <v>2</v>
      </c>
      <c r="N151">
        <v>2</v>
      </c>
      <c r="O151" s="33">
        <v>2839</v>
      </c>
      <c r="P151">
        <v>150</v>
      </c>
    </row>
    <row r="152" spans="11:16" x14ac:dyDescent="0.2">
      <c r="K152" s="16"/>
      <c r="L152" s="32" t="s">
        <v>333</v>
      </c>
      <c r="M152" s="46">
        <v>3</v>
      </c>
      <c r="N152">
        <v>2</v>
      </c>
      <c r="O152" s="33">
        <v>8079</v>
      </c>
      <c r="P152">
        <v>151</v>
      </c>
    </row>
    <row r="153" spans="11:16" x14ac:dyDescent="0.2">
      <c r="K153" s="16"/>
      <c r="L153" s="32" t="s">
        <v>334</v>
      </c>
      <c r="M153" s="46">
        <v>3</v>
      </c>
      <c r="N153">
        <v>2</v>
      </c>
      <c r="O153" s="33">
        <v>1792</v>
      </c>
      <c r="P153">
        <v>152</v>
      </c>
    </row>
    <row r="154" spans="11:16" x14ac:dyDescent="0.2">
      <c r="K154" s="16"/>
      <c r="L154" s="32" t="s">
        <v>335</v>
      </c>
      <c r="M154" s="46">
        <v>3</v>
      </c>
      <c r="N154">
        <v>2</v>
      </c>
      <c r="O154" s="33">
        <v>1773</v>
      </c>
      <c r="P154">
        <v>153</v>
      </c>
    </row>
    <row r="155" spans="11:16" x14ac:dyDescent="0.2">
      <c r="K155" s="16"/>
      <c r="L155" s="32" t="s">
        <v>337</v>
      </c>
      <c r="M155" s="46">
        <v>3</v>
      </c>
      <c r="N155">
        <v>2</v>
      </c>
      <c r="O155" s="33">
        <v>1902</v>
      </c>
      <c r="P155">
        <v>154</v>
      </c>
    </row>
    <row r="156" spans="11:16" x14ac:dyDescent="0.2">
      <c r="K156" s="16"/>
      <c r="L156" s="32" t="s">
        <v>338</v>
      </c>
      <c r="M156" s="46">
        <v>3</v>
      </c>
      <c r="N156">
        <v>2</v>
      </c>
      <c r="O156" s="33">
        <v>4273</v>
      </c>
      <c r="P156">
        <v>155</v>
      </c>
    </row>
    <row r="157" spans="11:16" x14ac:dyDescent="0.2">
      <c r="K157" s="16"/>
      <c r="L157" s="32" t="s">
        <v>339</v>
      </c>
      <c r="M157" s="46">
        <v>3</v>
      </c>
      <c r="N157">
        <v>2</v>
      </c>
      <c r="O157" s="33">
        <v>1044</v>
      </c>
      <c r="P157">
        <v>156</v>
      </c>
    </row>
    <row r="158" spans="11:16" x14ac:dyDescent="0.2">
      <c r="K158" s="16"/>
      <c r="L158" s="32" t="s">
        <v>340</v>
      </c>
      <c r="M158" s="46">
        <v>3</v>
      </c>
      <c r="N158">
        <v>2</v>
      </c>
      <c r="O158" s="33">
        <v>9874</v>
      </c>
      <c r="P158">
        <v>157</v>
      </c>
    </row>
    <row r="159" spans="11:16" x14ac:dyDescent="0.2">
      <c r="K159" s="16"/>
      <c r="L159" s="32" t="s">
        <v>342</v>
      </c>
      <c r="M159" s="46">
        <v>3</v>
      </c>
      <c r="N159">
        <v>2</v>
      </c>
      <c r="O159" s="33">
        <v>3022</v>
      </c>
      <c r="P159">
        <v>158</v>
      </c>
    </row>
    <row r="160" spans="11:16" x14ac:dyDescent="0.2">
      <c r="K160" s="16"/>
      <c r="L160" s="32" t="s">
        <v>344</v>
      </c>
      <c r="M160" s="46">
        <v>3</v>
      </c>
      <c r="N160">
        <v>2</v>
      </c>
      <c r="O160" s="33">
        <v>7634</v>
      </c>
      <c r="P160">
        <v>159</v>
      </c>
    </row>
    <row r="161" spans="11:16" x14ac:dyDescent="0.2">
      <c r="K161" s="16"/>
      <c r="L161" s="32" t="s">
        <v>345</v>
      </c>
      <c r="M161" s="46">
        <v>3</v>
      </c>
      <c r="N161">
        <v>2</v>
      </c>
      <c r="O161" s="33">
        <v>85</v>
      </c>
      <c r="P161">
        <v>160</v>
      </c>
    </row>
    <row r="162" spans="11:16" x14ac:dyDescent="0.2">
      <c r="K162" s="16"/>
      <c r="L162" s="32" t="s">
        <v>351</v>
      </c>
      <c r="M162" s="46">
        <v>3</v>
      </c>
      <c r="N162">
        <v>2</v>
      </c>
      <c r="O162" s="33">
        <v>19323</v>
      </c>
      <c r="P162">
        <v>161</v>
      </c>
    </row>
    <row r="163" spans="11:16" x14ac:dyDescent="0.2">
      <c r="K163" s="16"/>
      <c r="L163" s="32" t="s">
        <v>353</v>
      </c>
      <c r="M163" s="46">
        <v>3</v>
      </c>
      <c r="N163">
        <v>2</v>
      </c>
      <c r="O163" s="33">
        <v>194</v>
      </c>
      <c r="P163">
        <v>162</v>
      </c>
    </row>
    <row r="164" spans="11:16" x14ac:dyDescent="0.2">
      <c r="K164" s="16"/>
      <c r="L164" s="32" t="s">
        <v>354</v>
      </c>
      <c r="M164" s="46">
        <v>3</v>
      </c>
      <c r="N164">
        <v>2</v>
      </c>
      <c r="O164" s="33">
        <v>371</v>
      </c>
      <c r="P164">
        <v>163</v>
      </c>
    </row>
    <row r="165" spans="11:16" x14ac:dyDescent="0.2">
      <c r="K165" s="16"/>
      <c r="L165" s="32" t="s">
        <v>355</v>
      </c>
      <c r="M165" s="46">
        <v>3</v>
      </c>
      <c r="N165">
        <v>2</v>
      </c>
      <c r="O165" s="33">
        <v>52988</v>
      </c>
      <c r="P165">
        <v>164</v>
      </c>
    </row>
    <row r="166" spans="11:16" x14ac:dyDescent="0.2">
      <c r="K166" s="16"/>
      <c r="L166" s="32" t="s">
        <v>356</v>
      </c>
      <c r="M166" s="46">
        <v>3</v>
      </c>
      <c r="N166">
        <v>2</v>
      </c>
      <c r="O166" s="33">
        <v>22969</v>
      </c>
      <c r="P166">
        <v>165</v>
      </c>
    </row>
    <row r="167" spans="11:16" x14ac:dyDescent="0.2">
      <c r="K167" s="16"/>
      <c r="L167" s="32" t="s">
        <v>357</v>
      </c>
      <c r="M167" s="46">
        <v>3</v>
      </c>
      <c r="N167">
        <v>2</v>
      </c>
      <c r="O167" s="33">
        <v>14969</v>
      </c>
      <c r="P167">
        <v>166</v>
      </c>
    </row>
    <row r="168" spans="11:16" x14ac:dyDescent="0.2">
      <c r="K168" s="16"/>
      <c r="L168" s="32" t="s">
        <v>359</v>
      </c>
      <c r="M168" s="46">
        <v>3</v>
      </c>
      <c r="N168">
        <v>2</v>
      </c>
      <c r="O168" s="33">
        <v>208</v>
      </c>
      <c r="P168">
        <v>167</v>
      </c>
    </row>
    <row r="169" spans="11:16" x14ac:dyDescent="0.2">
      <c r="K169" s="16"/>
      <c r="L169" s="32" t="s">
        <v>361</v>
      </c>
      <c r="M169" s="46">
        <v>3</v>
      </c>
      <c r="N169">
        <v>2</v>
      </c>
      <c r="O169" s="33">
        <v>14890</v>
      </c>
      <c r="P169">
        <v>168</v>
      </c>
    </row>
    <row r="170" spans="11:16" x14ac:dyDescent="0.2">
      <c r="K170" s="16"/>
      <c r="L170" s="32" t="s">
        <v>362</v>
      </c>
      <c r="M170" s="46">
        <v>3</v>
      </c>
      <c r="N170">
        <v>2</v>
      </c>
      <c r="O170" s="33">
        <v>9418</v>
      </c>
      <c r="P170">
        <v>169</v>
      </c>
    </row>
    <row r="171" spans="11:16" x14ac:dyDescent="0.2">
      <c r="K171" s="16"/>
      <c r="L171" s="32" t="s">
        <v>363</v>
      </c>
      <c r="M171" s="46">
        <v>3</v>
      </c>
      <c r="N171">
        <v>2</v>
      </c>
      <c r="O171" s="33">
        <v>2478</v>
      </c>
      <c r="P171">
        <v>170</v>
      </c>
    </row>
    <row r="172" spans="11:16" x14ac:dyDescent="0.2">
      <c r="K172" s="16"/>
      <c r="L172" s="32" t="s">
        <v>365</v>
      </c>
      <c r="M172" s="46">
        <v>3</v>
      </c>
      <c r="N172">
        <v>2</v>
      </c>
      <c r="O172" s="33">
        <v>9490</v>
      </c>
      <c r="P172">
        <v>171</v>
      </c>
    </row>
    <row r="173" spans="11:16" x14ac:dyDescent="0.2">
      <c r="K173" s="16"/>
      <c r="L173" s="32" t="s">
        <v>366</v>
      </c>
      <c r="M173" s="46">
        <v>3</v>
      </c>
      <c r="N173">
        <v>2</v>
      </c>
      <c r="O173" s="33">
        <v>9407</v>
      </c>
      <c r="P173">
        <v>172</v>
      </c>
    </row>
    <row r="174" spans="11:16" x14ac:dyDescent="0.2">
      <c r="K174" s="16"/>
      <c r="L174" s="32" t="s">
        <v>367</v>
      </c>
      <c r="M174" s="46">
        <v>3</v>
      </c>
      <c r="N174">
        <v>2</v>
      </c>
      <c r="O174" s="33">
        <v>5658</v>
      </c>
      <c r="P174">
        <v>173</v>
      </c>
    </row>
    <row r="175" spans="11:16" x14ac:dyDescent="0.2">
      <c r="K175" s="16"/>
      <c r="L175" s="32" t="s">
        <v>368</v>
      </c>
      <c r="M175" s="46">
        <v>3</v>
      </c>
      <c r="N175">
        <v>2</v>
      </c>
      <c r="O175" s="33">
        <v>15348</v>
      </c>
      <c r="P175">
        <v>174</v>
      </c>
    </row>
    <row r="176" spans="11:16" x14ac:dyDescent="0.2">
      <c r="K176" s="16"/>
      <c r="L176" s="32" t="s">
        <v>369</v>
      </c>
      <c r="M176" s="46">
        <v>3</v>
      </c>
      <c r="N176">
        <v>2</v>
      </c>
      <c r="O176" s="33">
        <v>29349</v>
      </c>
      <c r="P176">
        <v>175</v>
      </c>
    </row>
    <row r="177" spans="11:16" x14ac:dyDescent="0.2">
      <c r="K177" s="16"/>
      <c r="L177" s="32" t="s">
        <v>371</v>
      </c>
      <c r="M177" s="46">
        <v>3</v>
      </c>
      <c r="N177">
        <v>2</v>
      </c>
      <c r="O177" s="33">
        <v>6074</v>
      </c>
      <c r="P177">
        <v>176</v>
      </c>
    </row>
    <row r="178" spans="11:16" x14ac:dyDescent="0.2">
      <c r="K178" s="16"/>
      <c r="L178" s="32" t="s">
        <v>372</v>
      </c>
      <c r="M178" s="46">
        <v>3</v>
      </c>
      <c r="N178">
        <v>2</v>
      </c>
      <c r="O178" s="33">
        <v>8945</v>
      </c>
      <c r="P178">
        <v>177</v>
      </c>
    </row>
    <row r="179" spans="11:16" x14ac:dyDescent="0.2">
      <c r="K179" s="16"/>
      <c r="L179" s="32" t="s">
        <v>373</v>
      </c>
      <c r="M179" s="46">
        <v>3</v>
      </c>
      <c r="N179">
        <v>2</v>
      </c>
      <c r="O179" s="33">
        <v>17760</v>
      </c>
      <c r="P179">
        <v>178</v>
      </c>
    </row>
    <row r="180" spans="11:16" x14ac:dyDescent="0.2">
      <c r="K180" s="16"/>
      <c r="L180" s="32" t="s">
        <v>374</v>
      </c>
      <c r="M180" s="46">
        <v>3</v>
      </c>
      <c r="N180">
        <v>2</v>
      </c>
      <c r="O180" s="33">
        <v>28636</v>
      </c>
      <c r="P180">
        <v>179</v>
      </c>
    </row>
    <row r="181" spans="11:16" x14ac:dyDescent="0.2">
      <c r="K181" s="16"/>
      <c r="L181" s="32" t="s">
        <v>375</v>
      </c>
      <c r="M181" s="46">
        <v>3</v>
      </c>
      <c r="N181">
        <v>2</v>
      </c>
      <c r="O181" s="33">
        <v>15592</v>
      </c>
      <c r="P181">
        <v>180</v>
      </c>
    </row>
    <row r="182" spans="11:16" x14ac:dyDescent="0.2">
      <c r="K182" s="16"/>
      <c r="L182" s="32" t="s">
        <v>377</v>
      </c>
      <c r="M182" s="46">
        <v>3</v>
      </c>
      <c r="N182">
        <v>2</v>
      </c>
      <c r="O182" s="33">
        <v>3957</v>
      </c>
      <c r="P182">
        <v>181</v>
      </c>
    </row>
    <row r="183" spans="11:16" x14ac:dyDescent="0.2">
      <c r="K183" s="3"/>
      <c r="L183" s="23" t="s">
        <v>378</v>
      </c>
      <c r="M183" s="46">
        <v>4</v>
      </c>
      <c r="N183">
        <v>2</v>
      </c>
      <c r="O183" s="33">
        <v>21</v>
      </c>
      <c r="P183">
        <v>182</v>
      </c>
    </row>
    <row r="184" spans="11:16" x14ac:dyDescent="0.2">
      <c r="K184" s="3"/>
      <c r="L184" s="23" t="s">
        <v>379</v>
      </c>
      <c r="M184" s="46">
        <v>4</v>
      </c>
      <c r="N184">
        <v>2</v>
      </c>
      <c r="O184" s="33">
        <v>4785</v>
      </c>
      <c r="P184">
        <v>183</v>
      </c>
    </row>
    <row r="185" spans="11:16" x14ac:dyDescent="0.2">
      <c r="K185" s="3"/>
      <c r="L185" s="23" t="s">
        <v>380</v>
      </c>
      <c r="M185" s="46">
        <v>4</v>
      </c>
      <c r="N185">
        <v>2</v>
      </c>
      <c r="O185" s="33">
        <v>26885</v>
      </c>
      <c r="P185">
        <v>184</v>
      </c>
    </row>
    <row r="186" spans="11:16" x14ac:dyDescent="0.2">
      <c r="K186" s="3"/>
      <c r="L186" s="23" t="s">
        <v>381</v>
      </c>
      <c r="M186" s="46">
        <v>4</v>
      </c>
      <c r="N186">
        <v>2</v>
      </c>
      <c r="O186" s="33">
        <v>805</v>
      </c>
      <c r="P186">
        <v>185</v>
      </c>
    </row>
    <row r="187" spans="11:16" x14ac:dyDescent="0.2">
      <c r="K187" s="3"/>
      <c r="L187" s="23" t="s">
        <v>382</v>
      </c>
      <c r="M187" s="46">
        <v>4</v>
      </c>
      <c r="N187">
        <v>2</v>
      </c>
      <c r="O187" s="33">
        <v>15900</v>
      </c>
      <c r="P187">
        <v>186</v>
      </c>
    </row>
    <row r="188" spans="11:16" x14ac:dyDescent="0.2">
      <c r="K188" s="3"/>
      <c r="L188" s="23" t="s">
        <v>383</v>
      </c>
      <c r="M188" s="46">
        <v>4</v>
      </c>
      <c r="N188">
        <v>2</v>
      </c>
      <c r="O188" s="33">
        <v>15347</v>
      </c>
      <c r="P188">
        <v>187</v>
      </c>
    </row>
    <row r="189" spans="11:16" x14ac:dyDescent="0.2">
      <c r="K189" s="3"/>
      <c r="L189" s="23" t="s">
        <v>384</v>
      </c>
      <c r="M189" s="46">
        <v>4</v>
      </c>
      <c r="N189">
        <v>2</v>
      </c>
      <c r="O189" s="33">
        <v>92</v>
      </c>
      <c r="P189">
        <v>188</v>
      </c>
    </row>
    <row r="190" spans="11:16" x14ac:dyDescent="0.2">
      <c r="K190" s="3"/>
      <c r="L190" s="23" t="s">
        <v>385</v>
      </c>
      <c r="M190" s="46">
        <v>4</v>
      </c>
      <c r="N190">
        <v>2</v>
      </c>
      <c r="O190" s="33">
        <v>30495</v>
      </c>
      <c r="P190">
        <v>189</v>
      </c>
    </row>
    <row r="191" spans="11:16" x14ac:dyDescent="0.2">
      <c r="K191" s="3"/>
      <c r="L191" s="23" t="s">
        <v>386</v>
      </c>
      <c r="M191" s="46">
        <v>4</v>
      </c>
      <c r="N191">
        <v>2</v>
      </c>
      <c r="O191" s="33">
        <v>14929</v>
      </c>
      <c r="P191">
        <v>190</v>
      </c>
    </row>
    <row r="192" spans="11:16" x14ac:dyDescent="0.2">
      <c r="K192" s="3"/>
      <c r="L192" s="23" t="s">
        <v>388</v>
      </c>
      <c r="M192" s="46">
        <v>4</v>
      </c>
      <c r="N192">
        <v>2</v>
      </c>
      <c r="O192" s="33">
        <v>5117</v>
      </c>
      <c r="P192">
        <v>191</v>
      </c>
    </row>
    <row r="193" spans="11:16" x14ac:dyDescent="0.2">
      <c r="K193" s="3"/>
      <c r="L193" s="23" t="s">
        <v>389</v>
      </c>
      <c r="M193" s="46">
        <v>4</v>
      </c>
      <c r="N193">
        <v>2</v>
      </c>
      <c r="O193" s="33">
        <v>246</v>
      </c>
      <c r="P193">
        <v>192</v>
      </c>
    </row>
    <row r="194" spans="11:16" x14ac:dyDescent="0.2">
      <c r="K194" s="3"/>
      <c r="L194" s="23" t="s">
        <v>391</v>
      </c>
      <c r="M194" s="46">
        <v>4</v>
      </c>
      <c r="N194">
        <v>2</v>
      </c>
      <c r="O194" s="33">
        <v>9609</v>
      </c>
      <c r="P194">
        <v>193</v>
      </c>
    </row>
    <row r="195" spans="11:16" x14ac:dyDescent="0.2">
      <c r="K195" s="3"/>
      <c r="L195" s="23" t="s">
        <v>392</v>
      </c>
      <c r="M195" s="46">
        <v>4</v>
      </c>
      <c r="N195">
        <v>2</v>
      </c>
      <c r="O195" s="33">
        <v>295</v>
      </c>
      <c r="P195">
        <v>194</v>
      </c>
    </row>
    <row r="196" spans="11:16" x14ac:dyDescent="0.2">
      <c r="K196" s="3"/>
      <c r="L196" s="23" t="s">
        <v>393</v>
      </c>
      <c r="M196" s="46">
        <v>4</v>
      </c>
      <c r="N196">
        <v>2</v>
      </c>
      <c r="O196" s="33">
        <v>1328</v>
      </c>
      <c r="P196">
        <v>195</v>
      </c>
    </row>
    <row r="197" spans="11:16" x14ac:dyDescent="0.2">
      <c r="K197" s="3"/>
      <c r="L197" s="23" t="s">
        <v>395</v>
      </c>
      <c r="M197" s="46">
        <v>4</v>
      </c>
      <c r="N197">
        <v>2</v>
      </c>
      <c r="O197" s="33">
        <v>5052</v>
      </c>
      <c r="P197">
        <v>196</v>
      </c>
    </row>
    <row r="198" spans="11:16" x14ac:dyDescent="0.2">
      <c r="K198" s="3"/>
      <c r="L198" s="23" t="s">
        <v>396</v>
      </c>
      <c r="M198" s="46">
        <v>4</v>
      </c>
      <c r="N198">
        <v>2</v>
      </c>
      <c r="O198" s="33">
        <v>58574</v>
      </c>
      <c r="P198">
        <v>197</v>
      </c>
    </row>
    <row r="199" spans="11:16" x14ac:dyDescent="0.2">
      <c r="K199" s="3"/>
      <c r="L199" s="23" t="s">
        <v>397</v>
      </c>
      <c r="M199" s="46">
        <v>4</v>
      </c>
      <c r="N199">
        <v>2</v>
      </c>
      <c r="O199" s="33">
        <v>4349</v>
      </c>
      <c r="P199">
        <v>198</v>
      </c>
    </row>
    <row r="200" spans="11:16" x14ac:dyDescent="0.2">
      <c r="K200" s="3"/>
      <c r="L200" s="23" t="s">
        <v>398</v>
      </c>
      <c r="M200" s="46">
        <v>4</v>
      </c>
      <c r="N200">
        <v>2</v>
      </c>
      <c r="O200" s="33">
        <v>756</v>
      </c>
      <c r="P200">
        <v>199</v>
      </c>
    </row>
    <row r="201" spans="11:16" x14ac:dyDescent="0.2">
      <c r="K201" s="3"/>
      <c r="L201" s="23" t="s">
        <v>400</v>
      </c>
      <c r="M201" s="46">
        <v>4</v>
      </c>
      <c r="N201">
        <v>2</v>
      </c>
      <c r="O201" s="33">
        <v>4275</v>
      </c>
      <c r="P201">
        <v>200</v>
      </c>
    </row>
    <row r="202" spans="11:16" x14ac:dyDescent="0.2">
      <c r="K202" s="3"/>
      <c r="L202" s="23" t="s">
        <v>402</v>
      </c>
      <c r="M202" s="46">
        <v>4</v>
      </c>
      <c r="N202">
        <v>2</v>
      </c>
      <c r="O202" s="33">
        <v>26304</v>
      </c>
      <c r="P202">
        <v>201</v>
      </c>
    </row>
    <row r="203" spans="11:16" x14ac:dyDescent="0.2">
      <c r="K203" s="3"/>
      <c r="L203" s="23" t="s">
        <v>403</v>
      </c>
      <c r="M203" s="46">
        <v>4</v>
      </c>
      <c r="N203">
        <v>2</v>
      </c>
      <c r="O203" s="33">
        <v>4568</v>
      </c>
      <c r="P203">
        <v>202</v>
      </c>
    </row>
    <row r="204" spans="11:16" x14ac:dyDescent="0.2">
      <c r="K204" s="3"/>
      <c r="L204" s="23" t="s">
        <v>404</v>
      </c>
      <c r="M204" s="46">
        <v>4</v>
      </c>
      <c r="N204">
        <v>2</v>
      </c>
      <c r="O204" s="33">
        <v>31455</v>
      </c>
      <c r="P204">
        <v>203</v>
      </c>
    </row>
    <row r="205" spans="11:16" x14ac:dyDescent="0.2">
      <c r="K205" s="3"/>
      <c r="L205" s="23" t="s">
        <v>407</v>
      </c>
      <c r="M205" s="46">
        <v>4</v>
      </c>
      <c r="N205">
        <v>2</v>
      </c>
      <c r="O205" s="33">
        <v>1044</v>
      </c>
      <c r="P205">
        <v>204</v>
      </c>
    </row>
    <row r="206" spans="11:16" x14ac:dyDescent="0.2">
      <c r="K206" s="3"/>
      <c r="L206" s="23" t="s">
        <v>408</v>
      </c>
      <c r="M206" s="46">
        <v>4</v>
      </c>
      <c r="N206">
        <v>2</v>
      </c>
      <c r="O206" s="33">
        <v>2434</v>
      </c>
      <c r="P206">
        <v>205</v>
      </c>
    </row>
    <row r="207" spans="11:16" x14ac:dyDescent="0.2">
      <c r="K207" s="3"/>
      <c r="L207" s="23" t="s">
        <v>409</v>
      </c>
      <c r="M207" s="46">
        <v>4</v>
      </c>
      <c r="N207">
        <v>2</v>
      </c>
      <c r="O207" s="33">
        <v>2449</v>
      </c>
      <c r="P207">
        <v>206</v>
      </c>
    </row>
    <row r="208" spans="11:16" x14ac:dyDescent="0.2">
      <c r="K208" s="3"/>
      <c r="L208" s="23" t="s">
        <v>410</v>
      </c>
      <c r="M208" s="46">
        <v>4</v>
      </c>
      <c r="N208">
        <v>2</v>
      </c>
      <c r="O208" s="33">
        <v>5465</v>
      </c>
      <c r="P208">
        <v>207</v>
      </c>
    </row>
    <row r="209" spans="11:16" x14ac:dyDescent="0.2">
      <c r="K209" s="3"/>
      <c r="L209" s="23" t="s">
        <v>411</v>
      </c>
      <c r="M209" s="46">
        <v>4</v>
      </c>
      <c r="N209">
        <v>2</v>
      </c>
      <c r="O209" s="33">
        <v>6872</v>
      </c>
      <c r="P209">
        <v>208</v>
      </c>
    </row>
    <row r="210" spans="11:16" x14ac:dyDescent="0.2">
      <c r="K210" s="3"/>
      <c r="L210" s="23" t="s">
        <v>412</v>
      </c>
      <c r="M210" s="46">
        <v>4</v>
      </c>
      <c r="N210">
        <v>2</v>
      </c>
      <c r="O210" s="33">
        <v>4880</v>
      </c>
      <c r="P210">
        <v>209</v>
      </c>
    </row>
  </sheetData>
  <autoFilter ref="C1:H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2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3" max="3" width="13.6640625" bestFit="1" customWidth="1"/>
    <col min="4" max="5" width="14.5" bestFit="1" customWidth="1"/>
    <col min="7" max="7" width="9.33203125" customWidth="1"/>
    <col min="8" max="8" width="9" style="44" customWidth="1"/>
    <col min="9" max="9" width="10.83203125" customWidth="1"/>
    <col min="10" max="10" width="8" style="33" customWidth="1"/>
    <col min="15" max="15" width="8.83203125" style="44"/>
    <col min="21" max="21" width="8.83203125" style="44"/>
    <col min="36" max="36" width="9.6640625" bestFit="1" customWidth="1"/>
  </cols>
  <sheetData>
    <row r="1" spans="1:42" x14ac:dyDescent="0.2">
      <c r="A1" t="s">
        <v>416</v>
      </c>
      <c r="B1" t="s">
        <v>421</v>
      </c>
      <c r="C1" t="s">
        <v>423</v>
      </c>
      <c r="D1" t="s">
        <v>424</v>
      </c>
      <c r="E1" t="s">
        <v>422</v>
      </c>
      <c r="F1" s="44"/>
      <c r="G1" s="44"/>
      <c r="I1" s="44"/>
      <c r="J1" s="48"/>
      <c r="K1" s="44"/>
      <c r="L1" s="44"/>
      <c r="M1" s="44"/>
      <c r="N1" s="44"/>
      <c r="P1" s="44"/>
      <c r="Q1" s="44"/>
      <c r="R1" s="44"/>
      <c r="S1" s="44"/>
      <c r="T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</row>
    <row r="2" spans="1:42" x14ac:dyDescent="0.2">
      <c r="A2" s="47" t="s">
        <v>304</v>
      </c>
      <c r="B2">
        <v>0</v>
      </c>
      <c r="C2" s="46">
        <v>2</v>
      </c>
      <c r="D2">
        <f>C2+7</f>
        <v>9</v>
      </c>
      <c r="E2">
        <v>0</v>
      </c>
      <c r="F2" s="44"/>
      <c r="G2" s="44"/>
      <c r="I2" s="44"/>
      <c r="J2" s="48"/>
      <c r="K2" s="44"/>
      <c r="L2" s="44"/>
      <c r="M2" s="44"/>
      <c r="N2" s="44"/>
      <c r="P2" s="44"/>
      <c r="Q2" s="44"/>
      <c r="R2" s="44"/>
      <c r="S2" s="44"/>
      <c r="T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42" x14ac:dyDescent="0.2">
      <c r="A3" s="46" t="s">
        <v>305</v>
      </c>
      <c r="B3">
        <v>0</v>
      </c>
      <c r="C3" s="46">
        <v>2</v>
      </c>
      <c r="D3">
        <f t="shared" ref="D3:D66" si="0">C3+7</f>
        <v>9</v>
      </c>
      <c r="E3">
        <v>0</v>
      </c>
      <c r="F3" s="51"/>
      <c r="G3" s="51"/>
      <c r="H3" s="51"/>
      <c r="I3" s="51"/>
      <c r="J3" s="51"/>
      <c r="K3" s="51"/>
      <c r="L3" s="44"/>
      <c r="M3" s="44"/>
      <c r="N3" s="51"/>
      <c r="O3" s="52"/>
      <c r="P3" s="52"/>
      <c r="Q3" s="52"/>
      <c r="R3" s="52"/>
      <c r="S3" s="44"/>
      <c r="T3" s="44"/>
      <c r="V3" s="53"/>
      <c r="W3" s="53"/>
      <c r="X3" s="53"/>
      <c r="Y3" s="53"/>
      <c r="Z3" s="53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</row>
    <row r="4" spans="1:42" x14ac:dyDescent="0.2">
      <c r="A4" s="47" t="s">
        <v>306</v>
      </c>
      <c r="B4">
        <v>0</v>
      </c>
      <c r="C4" s="46">
        <v>2</v>
      </c>
      <c r="D4">
        <f t="shared" si="0"/>
        <v>9</v>
      </c>
      <c r="E4">
        <v>0</v>
      </c>
      <c r="F4" s="44"/>
      <c r="G4" s="44"/>
      <c r="I4" s="48"/>
      <c r="J4" s="54"/>
      <c r="K4" s="44"/>
      <c r="L4" s="44"/>
      <c r="M4" s="44"/>
      <c r="N4" s="44"/>
      <c r="P4" s="44"/>
      <c r="Q4" s="48"/>
      <c r="R4" s="54"/>
      <c r="S4" s="44"/>
      <c r="T4" s="44"/>
      <c r="V4" s="44"/>
      <c r="W4" s="44"/>
      <c r="X4" s="44"/>
      <c r="Y4" s="48"/>
      <c r="Z4" s="5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</row>
    <row r="5" spans="1:42" x14ac:dyDescent="0.2">
      <c r="A5" s="46" t="s">
        <v>309</v>
      </c>
      <c r="B5">
        <v>0</v>
      </c>
      <c r="C5" s="46">
        <v>2</v>
      </c>
      <c r="D5">
        <f t="shared" si="0"/>
        <v>9</v>
      </c>
      <c r="E5">
        <v>0</v>
      </c>
      <c r="F5" s="44"/>
      <c r="G5" s="44"/>
      <c r="I5" s="48"/>
      <c r="J5" s="44"/>
      <c r="K5" s="44"/>
      <c r="L5" s="44"/>
      <c r="M5" s="44"/>
      <c r="N5" s="44"/>
      <c r="P5" s="44"/>
      <c r="Q5" s="44"/>
      <c r="R5" s="44"/>
      <c r="S5" s="44"/>
      <c r="T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</row>
    <row r="6" spans="1:42" x14ac:dyDescent="0.2">
      <c r="A6" s="47" t="s">
        <v>310</v>
      </c>
      <c r="B6">
        <v>0</v>
      </c>
      <c r="C6" s="46">
        <v>2</v>
      </c>
      <c r="D6">
        <f t="shared" si="0"/>
        <v>9</v>
      </c>
      <c r="E6">
        <v>0</v>
      </c>
      <c r="F6" s="44"/>
      <c r="G6" s="44"/>
      <c r="I6" s="48"/>
      <c r="J6" s="44"/>
      <c r="K6" s="44"/>
      <c r="L6" s="44"/>
      <c r="M6" s="44"/>
      <c r="N6" s="44"/>
      <c r="P6" s="44"/>
      <c r="Q6" s="44"/>
      <c r="R6" s="44"/>
      <c r="S6" s="44"/>
      <c r="T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</row>
    <row r="7" spans="1:42" x14ac:dyDescent="0.2">
      <c r="A7" s="46" t="s">
        <v>311</v>
      </c>
      <c r="B7">
        <v>0</v>
      </c>
      <c r="C7" s="46">
        <v>2</v>
      </c>
      <c r="D7">
        <f t="shared" si="0"/>
        <v>9</v>
      </c>
      <c r="E7">
        <v>0</v>
      </c>
      <c r="F7" s="44"/>
      <c r="G7" s="44"/>
      <c r="I7" s="48"/>
      <c r="J7" s="44"/>
      <c r="K7" s="44"/>
      <c r="L7" s="44"/>
      <c r="M7" s="44"/>
      <c r="N7" s="44"/>
      <c r="P7" s="44"/>
      <c r="Q7" s="44"/>
      <c r="R7" s="44"/>
      <c r="S7" s="44"/>
      <c r="T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</row>
    <row r="8" spans="1:42" x14ac:dyDescent="0.2">
      <c r="A8" s="47" t="s">
        <v>318</v>
      </c>
      <c r="B8">
        <v>0</v>
      </c>
      <c r="C8" s="46">
        <v>2</v>
      </c>
      <c r="D8">
        <f t="shared" si="0"/>
        <v>9</v>
      </c>
      <c r="E8">
        <v>0</v>
      </c>
      <c r="F8" s="44"/>
      <c r="G8" s="44"/>
      <c r="I8" s="48"/>
      <c r="J8" s="48"/>
      <c r="K8" s="44"/>
      <c r="L8" s="44"/>
      <c r="M8" s="44"/>
      <c r="N8" s="44"/>
      <c r="P8" s="44"/>
      <c r="Q8" s="44"/>
      <c r="R8" s="44"/>
      <c r="S8" s="44"/>
      <c r="T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</row>
    <row r="9" spans="1:42" x14ac:dyDescent="0.2">
      <c r="A9" s="46" t="s">
        <v>327</v>
      </c>
      <c r="B9">
        <v>0</v>
      </c>
      <c r="C9" s="46">
        <v>2</v>
      </c>
      <c r="D9">
        <f t="shared" si="0"/>
        <v>9</v>
      </c>
      <c r="E9">
        <v>0</v>
      </c>
      <c r="F9" s="44"/>
      <c r="G9" s="44"/>
      <c r="I9" s="48"/>
      <c r="J9" s="48"/>
      <c r="K9" s="44"/>
      <c r="L9" s="44"/>
      <c r="M9" s="44"/>
      <c r="N9" s="44"/>
      <c r="P9" s="44"/>
      <c r="Q9" s="44"/>
      <c r="R9" s="44"/>
      <c r="S9" s="44"/>
      <c r="T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</row>
    <row r="10" spans="1:42" x14ac:dyDescent="0.2">
      <c r="A10" s="47" t="s">
        <v>2</v>
      </c>
      <c r="B10" s="48">
        <v>0</v>
      </c>
      <c r="C10" s="46">
        <v>3</v>
      </c>
      <c r="D10">
        <f t="shared" si="0"/>
        <v>10</v>
      </c>
      <c r="E10">
        <v>0</v>
      </c>
      <c r="F10" s="44"/>
      <c r="G10" s="44"/>
      <c r="I10" s="48"/>
      <c r="J10" s="44"/>
      <c r="K10" s="44"/>
      <c r="L10" s="44"/>
      <c r="M10" s="44"/>
      <c r="N10" s="44"/>
      <c r="P10" s="44"/>
      <c r="Q10" s="44"/>
      <c r="R10" s="44"/>
      <c r="S10" s="44"/>
      <c r="T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</row>
    <row r="11" spans="1:42" x14ac:dyDescent="0.2">
      <c r="A11" s="46" t="s">
        <v>14</v>
      </c>
      <c r="B11" s="48">
        <v>0</v>
      </c>
      <c r="C11" s="46">
        <v>3</v>
      </c>
      <c r="D11">
        <f t="shared" si="0"/>
        <v>10</v>
      </c>
      <c r="E11">
        <v>0</v>
      </c>
      <c r="F11" s="44"/>
      <c r="G11" s="44"/>
      <c r="I11" s="48"/>
      <c r="J11" s="44"/>
      <c r="K11" s="44"/>
      <c r="L11" s="44"/>
      <c r="M11" s="44"/>
      <c r="N11" s="44"/>
      <c r="P11" s="44"/>
      <c r="Q11" s="44"/>
      <c r="R11" s="44"/>
      <c r="S11" s="44"/>
      <c r="T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</row>
    <row r="12" spans="1:42" x14ac:dyDescent="0.2">
      <c r="A12" s="47" t="s">
        <v>20</v>
      </c>
      <c r="B12" s="48">
        <v>0</v>
      </c>
      <c r="C12" s="46">
        <v>3</v>
      </c>
      <c r="D12">
        <f t="shared" si="0"/>
        <v>10</v>
      </c>
      <c r="E12">
        <v>0</v>
      </c>
      <c r="F12" s="44"/>
      <c r="G12" s="44"/>
      <c r="I12" s="48"/>
      <c r="J12" s="44"/>
      <c r="K12" s="44"/>
      <c r="L12" s="44"/>
      <c r="M12" s="44"/>
      <c r="N12" s="44"/>
      <c r="P12" s="44"/>
      <c r="Q12" s="44"/>
      <c r="R12" s="44"/>
      <c r="S12" s="44"/>
      <c r="T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</row>
    <row r="13" spans="1:42" x14ac:dyDescent="0.2">
      <c r="A13" s="46" t="s">
        <v>3</v>
      </c>
      <c r="B13" s="48">
        <v>0</v>
      </c>
      <c r="C13" s="46">
        <v>3</v>
      </c>
      <c r="D13">
        <f t="shared" si="0"/>
        <v>10</v>
      </c>
      <c r="E13">
        <v>0</v>
      </c>
      <c r="F13" s="44"/>
      <c r="G13" s="44"/>
      <c r="I13" s="44"/>
      <c r="J13" s="48"/>
      <c r="K13" s="44"/>
      <c r="L13" s="44"/>
      <c r="M13" s="44"/>
      <c r="N13" s="44"/>
      <c r="P13" s="44"/>
      <c r="Q13" s="44"/>
      <c r="R13" s="44"/>
      <c r="S13" s="44"/>
      <c r="T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</row>
    <row r="14" spans="1:42" x14ac:dyDescent="0.2">
      <c r="A14" s="47" t="s">
        <v>21</v>
      </c>
      <c r="B14" s="48">
        <v>0</v>
      </c>
      <c r="C14" s="46">
        <v>3</v>
      </c>
      <c r="D14">
        <f t="shared" si="0"/>
        <v>10</v>
      </c>
      <c r="E14">
        <v>0</v>
      </c>
      <c r="F14" s="44"/>
      <c r="G14" s="44"/>
      <c r="I14" s="44"/>
      <c r="J14" s="48"/>
      <c r="K14" s="44"/>
      <c r="L14" s="44"/>
      <c r="M14" s="44"/>
      <c r="N14" s="44"/>
      <c r="P14" s="44"/>
      <c r="Q14" s="44"/>
      <c r="R14" s="44"/>
      <c r="S14" s="44"/>
      <c r="T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</row>
    <row r="15" spans="1:42" x14ac:dyDescent="0.2">
      <c r="A15" s="46" t="s">
        <v>16</v>
      </c>
      <c r="B15" s="48">
        <v>0</v>
      </c>
      <c r="C15" s="46">
        <v>3</v>
      </c>
      <c r="D15">
        <f t="shared" si="0"/>
        <v>10</v>
      </c>
      <c r="E15">
        <v>0</v>
      </c>
      <c r="F15" s="44"/>
      <c r="G15" s="44"/>
      <c r="I15" s="44"/>
      <c r="J15" s="48"/>
      <c r="K15" s="44"/>
      <c r="L15" s="44"/>
      <c r="M15" s="44"/>
      <c r="N15" s="44"/>
      <c r="P15" s="44"/>
      <c r="Q15" s="44"/>
      <c r="R15" s="44"/>
      <c r="S15" s="44"/>
      <c r="T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</row>
    <row r="16" spans="1:42" x14ac:dyDescent="0.2">
      <c r="A16" s="47" t="s">
        <v>27</v>
      </c>
      <c r="B16" s="48">
        <v>0</v>
      </c>
      <c r="C16" s="46">
        <v>3</v>
      </c>
      <c r="D16">
        <f t="shared" si="0"/>
        <v>10</v>
      </c>
      <c r="E16">
        <v>0</v>
      </c>
      <c r="F16" s="44"/>
      <c r="G16" s="44"/>
      <c r="I16" s="44"/>
      <c r="J16" s="48"/>
      <c r="K16" s="44"/>
      <c r="L16" s="44"/>
      <c r="M16" s="44"/>
      <c r="N16" s="44"/>
      <c r="P16" s="44"/>
      <c r="Q16" s="44"/>
      <c r="R16" s="44"/>
      <c r="S16" s="44"/>
      <c r="T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</row>
    <row r="17" spans="1:42" x14ac:dyDescent="0.2">
      <c r="A17" s="46" t="s">
        <v>33</v>
      </c>
      <c r="B17" s="48">
        <v>0</v>
      </c>
      <c r="C17" s="46">
        <v>3</v>
      </c>
      <c r="D17">
        <f t="shared" si="0"/>
        <v>10</v>
      </c>
      <c r="E17">
        <v>0</v>
      </c>
      <c r="F17" s="44"/>
      <c r="G17" s="44"/>
      <c r="I17" s="44"/>
      <c r="J17" s="48"/>
      <c r="K17" s="44"/>
      <c r="L17" s="44"/>
      <c r="M17" s="44"/>
      <c r="N17" s="44"/>
      <c r="P17" s="44"/>
      <c r="Q17" s="44"/>
      <c r="R17" s="44"/>
      <c r="S17" s="44"/>
      <c r="T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</row>
    <row r="18" spans="1:42" x14ac:dyDescent="0.2">
      <c r="A18" s="47" t="s">
        <v>11</v>
      </c>
      <c r="B18" s="48">
        <v>0</v>
      </c>
      <c r="C18" s="46">
        <v>3</v>
      </c>
      <c r="D18">
        <f t="shared" si="0"/>
        <v>10</v>
      </c>
      <c r="E18">
        <v>0</v>
      </c>
      <c r="F18" s="44"/>
      <c r="G18" s="44"/>
      <c r="I18" s="44"/>
      <c r="J18" s="48"/>
      <c r="K18" s="44"/>
      <c r="L18" s="44"/>
      <c r="M18" s="44"/>
      <c r="N18" s="44"/>
      <c r="P18" s="44"/>
      <c r="Q18" s="44"/>
      <c r="R18" s="44"/>
      <c r="S18" s="44"/>
      <c r="T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</row>
    <row r="19" spans="1:42" x14ac:dyDescent="0.2">
      <c r="A19" s="46" t="s">
        <v>17</v>
      </c>
      <c r="B19" s="48">
        <v>0</v>
      </c>
      <c r="C19" s="46">
        <v>3</v>
      </c>
      <c r="D19">
        <f t="shared" si="0"/>
        <v>10</v>
      </c>
      <c r="E19">
        <v>0</v>
      </c>
      <c r="F19" s="44"/>
      <c r="G19" s="44"/>
      <c r="H19" s="48"/>
      <c r="I19" s="44"/>
      <c r="J19" s="44"/>
      <c r="K19" s="44"/>
      <c r="L19" s="44"/>
      <c r="M19" s="44"/>
      <c r="N19" s="44"/>
      <c r="P19" s="44"/>
      <c r="Q19" s="44"/>
      <c r="R19" s="44"/>
      <c r="S19" s="44"/>
      <c r="T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</row>
    <row r="20" spans="1:42" x14ac:dyDescent="0.2">
      <c r="A20" s="47" t="s">
        <v>12</v>
      </c>
      <c r="B20" s="48">
        <v>0</v>
      </c>
      <c r="C20" s="46">
        <v>3</v>
      </c>
      <c r="D20">
        <f t="shared" si="0"/>
        <v>10</v>
      </c>
      <c r="E20">
        <v>0</v>
      </c>
      <c r="F20" s="44"/>
      <c r="G20" s="55"/>
      <c r="H20" s="48"/>
      <c r="I20" s="44"/>
      <c r="J20" s="44"/>
      <c r="K20" s="44"/>
      <c r="L20" s="44"/>
      <c r="M20" s="44"/>
      <c r="N20" s="44"/>
      <c r="P20" s="44"/>
      <c r="Q20" s="44"/>
      <c r="R20" s="44"/>
      <c r="S20" s="44"/>
      <c r="T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</row>
    <row r="21" spans="1:42" x14ac:dyDescent="0.2">
      <c r="A21" s="46" t="s">
        <v>30</v>
      </c>
      <c r="B21" s="48">
        <v>0</v>
      </c>
      <c r="C21" s="46">
        <v>3</v>
      </c>
      <c r="D21">
        <f t="shared" si="0"/>
        <v>10</v>
      </c>
      <c r="E21">
        <v>0</v>
      </c>
      <c r="F21" s="44"/>
      <c r="G21" s="55"/>
      <c r="H21" s="48"/>
      <c r="I21" s="44"/>
      <c r="J21" s="44"/>
      <c r="K21" s="44"/>
      <c r="L21" s="44"/>
      <c r="M21" s="44"/>
      <c r="N21" s="44"/>
      <c r="P21" s="44"/>
      <c r="Q21" s="44"/>
      <c r="R21" s="44"/>
      <c r="S21" s="44"/>
      <c r="T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</row>
    <row r="22" spans="1:42" x14ac:dyDescent="0.2">
      <c r="A22" s="47" t="s">
        <v>173</v>
      </c>
      <c r="B22" s="48">
        <v>0</v>
      </c>
      <c r="C22" s="46">
        <v>3</v>
      </c>
      <c r="D22">
        <f t="shared" si="0"/>
        <v>10</v>
      </c>
      <c r="E22">
        <v>0</v>
      </c>
      <c r="F22" s="44"/>
      <c r="G22" s="55"/>
      <c r="H22" s="48"/>
      <c r="I22" s="44"/>
      <c r="J22" s="44"/>
      <c r="K22" s="44"/>
      <c r="L22" s="44"/>
      <c r="M22" s="44"/>
      <c r="N22" s="44"/>
      <c r="P22" s="44"/>
      <c r="Q22" s="44"/>
      <c r="R22" s="44"/>
      <c r="S22" s="44"/>
      <c r="T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</row>
    <row r="23" spans="1:42" x14ac:dyDescent="0.2">
      <c r="A23" s="46" t="s">
        <v>177</v>
      </c>
      <c r="B23" s="48">
        <v>0</v>
      </c>
      <c r="C23" s="46">
        <v>3</v>
      </c>
      <c r="D23">
        <f t="shared" si="0"/>
        <v>10</v>
      </c>
      <c r="E23">
        <v>0</v>
      </c>
      <c r="F23" s="44"/>
      <c r="G23" s="55"/>
      <c r="H23" s="48"/>
      <c r="I23" s="44"/>
      <c r="J23" s="44"/>
      <c r="K23" s="44"/>
      <c r="L23" s="44"/>
      <c r="M23" s="44"/>
      <c r="N23" s="44"/>
      <c r="P23" s="44"/>
      <c r="Q23" s="44"/>
      <c r="R23" s="44"/>
      <c r="S23" s="44"/>
      <c r="T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</row>
    <row r="24" spans="1:42" x14ac:dyDescent="0.2">
      <c r="A24" s="47" t="s">
        <v>178</v>
      </c>
      <c r="B24" s="48">
        <v>0</v>
      </c>
      <c r="C24" s="46">
        <v>3</v>
      </c>
      <c r="D24">
        <f t="shared" si="0"/>
        <v>10</v>
      </c>
      <c r="E24">
        <v>0</v>
      </c>
      <c r="F24" s="44"/>
      <c r="G24" s="55"/>
      <c r="H24" s="48"/>
      <c r="I24" s="44"/>
      <c r="J24" s="44"/>
      <c r="K24" s="44"/>
      <c r="L24" s="44"/>
      <c r="M24" s="44"/>
      <c r="N24" s="44"/>
      <c r="P24" s="44"/>
      <c r="Q24" s="44"/>
      <c r="R24" s="44"/>
      <c r="S24" s="44"/>
      <c r="T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</row>
    <row r="25" spans="1:42" x14ac:dyDescent="0.2">
      <c r="A25" s="46" t="s">
        <v>336</v>
      </c>
      <c r="B25" s="48">
        <v>0</v>
      </c>
      <c r="C25" s="46">
        <v>3</v>
      </c>
      <c r="D25">
        <f t="shared" si="0"/>
        <v>10</v>
      </c>
      <c r="E25">
        <v>0</v>
      </c>
      <c r="F25" s="44"/>
      <c r="G25" s="55"/>
      <c r="H25" s="48"/>
      <c r="I25" s="44"/>
      <c r="J25" s="44"/>
      <c r="K25" s="44"/>
      <c r="L25" s="44"/>
      <c r="M25" s="44"/>
      <c r="N25" s="44"/>
      <c r="P25" s="44"/>
      <c r="Q25" s="44"/>
      <c r="R25" s="44"/>
      <c r="S25" s="44"/>
      <c r="T25" s="44"/>
      <c r="V25" s="44"/>
      <c r="W25" s="44"/>
      <c r="X25" s="48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</row>
    <row r="26" spans="1:42" x14ac:dyDescent="0.2">
      <c r="A26" s="47" t="s">
        <v>341</v>
      </c>
      <c r="B26" s="48">
        <v>0</v>
      </c>
      <c r="C26" s="46">
        <v>3</v>
      </c>
      <c r="D26">
        <f t="shared" si="0"/>
        <v>10</v>
      </c>
      <c r="E26">
        <v>0</v>
      </c>
      <c r="F26" s="44"/>
      <c r="G26" s="44"/>
      <c r="I26" s="44"/>
      <c r="J26" s="48"/>
      <c r="K26" s="44"/>
      <c r="L26" s="44"/>
      <c r="M26" s="44"/>
      <c r="N26" s="44"/>
      <c r="P26" s="44"/>
      <c r="Q26" s="44"/>
      <c r="R26" s="44"/>
      <c r="S26" s="44"/>
      <c r="T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</row>
    <row r="27" spans="1:42" x14ac:dyDescent="0.2">
      <c r="A27" s="46" t="s">
        <v>346</v>
      </c>
      <c r="B27" s="48">
        <v>0</v>
      </c>
      <c r="C27" s="46">
        <v>3</v>
      </c>
      <c r="D27">
        <f t="shared" si="0"/>
        <v>10</v>
      </c>
      <c r="E27">
        <v>0</v>
      </c>
      <c r="F27" s="44"/>
      <c r="G27" s="44"/>
      <c r="I27" s="44"/>
      <c r="J27" s="48"/>
      <c r="K27" s="44"/>
      <c r="L27" s="44"/>
      <c r="M27" s="44"/>
      <c r="N27" s="44"/>
      <c r="P27" s="44"/>
      <c r="Q27" s="44"/>
      <c r="R27" s="44"/>
      <c r="S27" s="44"/>
      <c r="T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</row>
    <row r="28" spans="1:42" x14ac:dyDescent="0.2">
      <c r="A28" s="47" t="s">
        <v>347</v>
      </c>
      <c r="B28" s="48">
        <v>0</v>
      </c>
      <c r="C28" s="46">
        <v>3</v>
      </c>
      <c r="D28">
        <f t="shared" si="0"/>
        <v>10</v>
      </c>
      <c r="E28">
        <v>0</v>
      </c>
      <c r="F28" s="44"/>
      <c r="G28" s="44"/>
      <c r="H28" s="48"/>
      <c r="I28" s="44"/>
      <c r="J28" s="48"/>
      <c r="K28" s="44"/>
      <c r="L28" s="44"/>
      <c r="M28" s="44"/>
      <c r="N28" s="44"/>
      <c r="P28" s="44"/>
      <c r="Q28" s="44"/>
      <c r="R28" s="44"/>
      <c r="S28" s="44"/>
      <c r="T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</row>
    <row r="29" spans="1:42" x14ac:dyDescent="0.2">
      <c r="A29" s="46" t="s">
        <v>348</v>
      </c>
      <c r="B29" s="48">
        <v>0</v>
      </c>
      <c r="C29" s="46">
        <v>3</v>
      </c>
      <c r="D29">
        <f t="shared" si="0"/>
        <v>10</v>
      </c>
      <c r="E29">
        <v>0</v>
      </c>
      <c r="F29" s="44"/>
      <c r="G29" s="55"/>
      <c r="H29" s="48"/>
      <c r="I29" s="44"/>
      <c r="J29" s="48"/>
      <c r="K29" s="44"/>
      <c r="L29" s="44"/>
      <c r="M29" s="44"/>
      <c r="N29" s="44"/>
      <c r="P29" s="44"/>
      <c r="Q29" s="48"/>
      <c r="R29" s="44"/>
      <c r="S29" s="44"/>
      <c r="T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</row>
    <row r="30" spans="1:42" x14ac:dyDescent="0.2">
      <c r="A30" s="47" t="s">
        <v>349</v>
      </c>
      <c r="B30" s="48">
        <v>0</v>
      </c>
      <c r="C30" s="46">
        <v>3</v>
      </c>
      <c r="D30">
        <f t="shared" si="0"/>
        <v>10</v>
      </c>
      <c r="E30">
        <v>0</v>
      </c>
      <c r="F30" s="44"/>
      <c r="G30" s="55"/>
      <c r="H30" s="48"/>
      <c r="I30" s="44"/>
      <c r="J30" s="48"/>
      <c r="K30" s="44"/>
      <c r="L30" s="44"/>
      <c r="M30" s="44"/>
      <c r="N30" s="44"/>
      <c r="P30" s="44"/>
      <c r="Q30" s="44"/>
      <c r="R30" s="44"/>
      <c r="S30" s="44"/>
      <c r="T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</row>
    <row r="31" spans="1:42" x14ac:dyDescent="0.2">
      <c r="A31" s="46" t="s">
        <v>352</v>
      </c>
      <c r="B31" s="48">
        <v>0</v>
      </c>
      <c r="C31" s="46">
        <v>3</v>
      </c>
      <c r="D31">
        <f t="shared" si="0"/>
        <v>10</v>
      </c>
      <c r="E31">
        <v>0</v>
      </c>
      <c r="F31" s="44"/>
      <c r="G31" s="55"/>
      <c r="H31" s="48"/>
      <c r="I31" s="44"/>
      <c r="J31" s="48"/>
      <c r="K31" s="44"/>
      <c r="L31" s="44"/>
      <c r="M31" s="44"/>
      <c r="N31" s="44"/>
      <c r="P31" s="44"/>
      <c r="Q31" s="44"/>
      <c r="R31" s="44"/>
      <c r="S31" s="44"/>
      <c r="T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</row>
    <row r="32" spans="1:42" x14ac:dyDescent="0.2">
      <c r="A32" s="47" t="s">
        <v>358</v>
      </c>
      <c r="B32" s="48">
        <v>0</v>
      </c>
      <c r="C32" s="46">
        <v>3</v>
      </c>
      <c r="D32">
        <f t="shared" si="0"/>
        <v>10</v>
      </c>
      <c r="E32">
        <v>0</v>
      </c>
      <c r="F32" s="44"/>
      <c r="G32" s="55"/>
      <c r="H32" s="48"/>
      <c r="I32" s="44"/>
      <c r="J32" s="48"/>
      <c r="K32" s="44"/>
      <c r="L32" s="44"/>
      <c r="M32" s="44"/>
      <c r="N32" s="44"/>
      <c r="P32" s="44"/>
      <c r="Q32" s="44"/>
      <c r="R32" s="44"/>
      <c r="S32" s="44"/>
      <c r="T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</row>
    <row r="33" spans="1:42" x14ac:dyDescent="0.2">
      <c r="A33" s="46" t="s">
        <v>360</v>
      </c>
      <c r="B33" s="48">
        <v>0</v>
      </c>
      <c r="C33" s="46">
        <v>3</v>
      </c>
      <c r="D33">
        <f t="shared" si="0"/>
        <v>10</v>
      </c>
      <c r="E33">
        <v>0</v>
      </c>
      <c r="F33" s="44"/>
      <c r="G33" s="55"/>
      <c r="H33" s="48"/>
      <c r="I33" s="44"/>
      <c r="J33" s="48"/>
      <c r="K33" s="44"/>
      <c r="L33" s="44"/>
      <c r="M33" s="44"/>
      <c r="N33" s="44"/>
      <c r="P33" s="44"/>
      <c r="Q33" s="44"/>
      <c r="R33" s="44"/>
      <c r="S33" s="44"/>
      <c r="T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</row>
    <row r="34" spans="1:42" x14ac:dyDescent="0.2">
      <c r="A34" s="47" t="s">
        <v>376</v>
      </c>
      <c r="B34" s="48">
        <v>0</v>
      </c>
      <c r="C34" s="46">
        <v>3</v>
      </c>
      <c r="D34">
        <f t="shared" si="0"/>
        <v>10</v>
      </c>
      <c r="E34">
        <v>0</v>
      </c>
      <c r="F34" s="44"/>
      <c r="G34" s="55"/>
      <c r="H34" s="48"/>
      <c r="I34" s="44"/>
      <c r="J34" s="48"/>
      <c r="K34" s="44"/>
      <c r="L34" s="44"/>
      <c r="M34" s="44"/>
      <c r="N34" s="44"/>
      <c r="P34" s="44"/>
      <c r="Q34" s="44"/>
      <c r="R34" s="44"/>
      <c r="S34" s="44"/>
      <c r="T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</row>
    <row r="35" spans="1:42" x14ac:dyDescent="0.2">
      <c r="A35" s="46" t="s">
        <v>80</v>
      </c>
      <c r="B35" s="33">
        <v>0</v>
      </c>
      <c r="C35" s="46">
        <v>4</v>
      </c>
      <c r="D35">
        <f t="shared" si="0"/>
        <v>11</v>
      </c>
      <c r="E35">
        <v>0</v>
      </c>
      <c r="F35" s="44"/>
      <c r="G35" s="44"/>
      <c r="I35" s="44"/>
      <c r="J35" s="48"/>
      <c r="K35" s="44"/>
      <c r="L35" s="44"/>
      <c r="M35" s="44"/>
      <c r="N35" s="44"/>
      <c r="P35" s="44"/>
      <c r="Q35" s="44"/>
      <c r="R35" s="44"/>
      <c r="S35" s="44"/>
      <c r="T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</row>
    <row r="36" spans="1:42" x14ac:dyDescent="0.2">
      <c r="A36" s="47" t="s">
        <v>85</v>
      </c>
      <c r="B36" s="33">
        <v>0</v>
      </c>
      <c r="C36" s="46">
        <v>4</v>
      </c>
      <c r="D36">
        <f t="shared" si="0"/>
        <v>11</v>
      </c>
      <c r="E36">
        <v>0</v>
      </c>
      <c r="F36" s="44"/>
      <c r="G36" s="44"/>
      <c r="I36" s="44"/>
      <c r="J36" s="48"/>
      <c r="K36" s="44"/>
      <c r="L36" s="44"/>
      <c r="M36" s="44"/>
      <c r="N36" s="44"/>
      <c r="P36" s="44"/>
      <c r="Q36" s="44"/>
      <c r="R36" s="44"/>
      <c r="S36" s="44"/>
      <c r="T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</row>
    <row r="37" spans="1:42" x14ac:dyDescent="0.2">
      <c r="A37" s="46" t="s">
        <v>86</v>
      </c>
      <c r="B37" s="33">
        <v>0</v>
      </c>
      <c r="C37" s="46">
        <v>4</v>
      </c>
      <c r="D37">
        <f t="shared" si="0"/>
        <v>11</v>
      </c>
      <c r="E37">
        <v>0</v>
      </c>
      <c r="F37" s="44"/>
      <c r="G37" s="44"/>
      <c r="I37" s="44"/>
      <c r="J37" s="48"/>
      <c r="K37" s="44"/>
      <c r="L37" s="44"/>
      <c r="M37" s="44"/>
      <c r="N37" s="44"/>
      <c r="P37" s="44"/>
      <c r="Q37" s="44"/>
      <c r="R37" s="44"/>
      <c r="S37" s="44"/>
      <c r="T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</row>
    <row r="38" spans="1:42" x14ac:dyDescent="0.2">
      <c r="A38" s="46" t="s">
        <v>87</v>
      </c>
      <c r="B38" s="33">
        <v>0</v>
      </c>
      <c r="C38" s="46">
        <v>4</v>
      </c>
      <c r="D38">
        <f t="shared" si="0"/>
        <v>11</v>
      </c>
      <c r="E38">
        <v>0</v>
      </c>
      <c r="F38" s="53"/>
      <c r="G38" s="53"/>
      <c r="H38" s="53"/>
      <c r="I38" s="53"/>
      <c r="J38" s="53"/>
      <c r="K38" s="46"/>
      <c r="L38" s="44"/>
      <c r="M38" s="44"/>
      <c r="N38" s="44"/>
      <c r="P38" s="44"/>
      <c r="Q38" s="44"/>
      <c r="R38" s="44"/>
      <c r="S38" s="44"/>
      <c r="T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</row>
    <row r="39" spans="1:42" x14ac:dyDescent="0.2">
      <c r="A39" s="47" t="s">
        <v>91</v>
      </c>
      <c r="B39" s="33">
        <v>0</v>
      </c>
      <c r="C39" s="46">
        <v>4</v>
      </c>
      <c r="D39">
        <f t="shared" si="0"/>
        <v>11</v>
      </c>
      <c r="E39">
        <v>0</v>
      </c>
      <c r="F39" s="44"/>
      <c r="G39" s="44"/>
      <c r="I39" s="48"/>
      <c r="J39" s="54"/>
      <c r="K39" s="44"/>
      <c r="L39" s="44"/>
      <c r="M39" s="44"/>
      <c r="N39" s="53"/>
      <c r="O39" s="53"/>
      <c r="P39" s="53"/>
      <c r="Q39" s="53"/>
      <c r="R39" s="53"/>
      <c r="S39" s="44"/>
      <c r="T39" s="44"/>
      <c r="U39" s="53"/>
      <c r="V39" s="53"/>
      <c r="W39" s="53"/>
      <c r="X39" s="53"/>
      <c r="Y39" s="53"/>
      <c r="Z39" s="44"/>
      <c r="AA39" s="44"/>
      <c r="AB39" s="44"/>
      <c r="AC39" s="53"/>
      <c r="AD39" s="53"/>
      <c r="AE39" s="53"/>
      <c r="AF39" s="53"/>
      <c r="AG39" s="53"/>
      <c r="AH39" s="44"/>
      <c r="AI39" s="44"/>
      <c r="AJ39" s="44"/>
      <c r="AK39" s="53"/>
      <c r="AL39" s="53"/>
      <c r="AM39" s="53"/>
      <c r="AN39" s="53"/>
      <c r="AO39" s="53"/>
      <c r="AP39" s="44"/>
    </row>
    <row r="40" spans="1:42" x14ac:dyDescent="0.2">
      <c r="A40" s="46" t="s">
        <v>93</v>
      </c>
      <c r="B40" s="33">
        <v>0</v>
      </c>
      <c r="C40" s="46">
        <v>4</v>
      </c>
      <c r="D40">
        <f t="shared" si="0"/>
        <v>11</v>
      </c>
      <c r="E40">
        <v>0</v>
      </c>
      <c r="F40" s="44"/>
      <c r="G40" s="44"/>
      <c r="I40" s="44"/>
      <c r="J40" s="44"/>
      <c r="K40" s="46"/>
      <c r="L40" s="44"/>
      <c r="M40" s="44"/>
      <c r="N40" s="44"/>
      <c r="P40" s="44"/>
      <c r="Q40" s="48"/>
      <c r="R40" s="54"/>
      <c r="S40" s="44"/>
      <c r="T40" s="44"/>
      <c r="V40" s="44"/>
      <c r="W40" s="44"/>
      <c r="X40" s="48"/>
      <c r="Y40" s="54"/>
      <c r="Z40" s="44"/>
      <c r="AA40" s="44"/>
      <c r="AB40" s="44"/>
      <c r="AC40" s="44"/>
      <c r="AD40" s="44"/>
      <c r="AE40" s="44"/>
      <c r="AF40" s="48"/>
      <c r="AG40" s="54"/>
      <c r="AH40" s="44"/>
      <c r="AI40" s="44"/>
      <c r="AJ40" s="44"/>
      <c r="AK40" s="44"/>
      <c r="AL40" s="44"/>
      <c r="AM40" s="44"/>
      <c r="AN40" s="48"/>
      <c r="AO40" s="54"/>
      <c r="AP40" s="44"/>
    </row>
    <row r="41" spans="1:42" x14ac:dyDescent="0.2">
      <c r="A41" s="47" t="s">
        <v>99</v>
      </c>
      <c r="B41" s="33">
        <v>0</v>
      </c>
      <c r="C41" s="46">
        <v>4</v>
      </c>
      <c r="D41">
        <f t="shared" si="0"/>
        <v>11</v>
      </c>
      <c r="E41">
        <v>0</v>
      </c>
      <c r="F41" s="44"/>
      <c r="G41" s="44"/>
      <c r="I41" s="44"/>
      <c r="J41" s="48"/>
      <c r="K41" s="44"/>
      <c r="L41" s="44"/>
      <c r="M41" s="44"/>
      <c r="N41" s="44"/>
      <c r="P41" s="44"/>
      <c r="Q41" s="44"/>
      <c r="R41" s="44"/>
      <c r="S41" s="44"/>
      <c r="T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6"/>
      <c r="AL41" s="46"/>
      <c r="AM41" s="44"/>
      <c r="AN41" s="44"/>
      <c r="AO41" s="44"/>
      <c r="AP41" s="44"/>
    </row>
    <row r="42" spans="1:42" x14ac:dyDescent="0.2">
      <c r="A42" s="47" t="s">
        <v>179</v>
      </c>
      <c r="B42" s="33">
        <v>0</v>
      </c>
      <c r="C42" s="46">
        <v>4</v>
      </c>
      <c r="D42">
        <f t="shared" si="0"/>
        <v>11</v>
      </c>
      <c r="E42">
        <v>0</v>
      </c>
      <c r="F42" s="44"/>
      <c r="G42" s="44"/>
      <c r="I42" s="44"/>
      <c r="J42" s="44"/>
      <c r="K42" s="46"/>
      <c r="L42" s="44"/>
      <c r="M42" s="44"/>
      <c r="N42" s="44"/>
      <c r="P42" s="44"/>
      <c r="Q42" s="44"/>
      <c r="R42" s="44"/>
      <c r="S42" s="44"/>
      <c r="T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6"/>
      <c r="AL42" s="46"/>
      <c r="AM42" s="44"/>
      <c r="AN42" s="44"/>
      <c r="AO42" s="44"/>
      <c r="AP42" s="44"/>
    </row>
    <row r="43" spans="1:42" x14ac:dyDescent="0.2">
      <c r="A43" s="46" t="s">
        <v>180</v>
      </c>
      <c r="B43" s="33">
        <v>0</v>
      </c>
      <c r="C43" s="46">
        <v>4</v>
      </c>
      <c r="D43">
        <f t="shared" si="0"/>
        <v>11</v>
      </c>
      <c r="E43">
        <v>0</v>
      </c>
      <c r="F43" s="44"/>
      <c r="G43" s="44"/>
      <c r="I43" s="44"/>
      <c r="J43" s="48"/>
      <c r="K43" s="44"/>
      <c r="L43" s="44"/>
      <c r="M43" s="44"/>
      <c r="N43" s="44"/>
      <c r="P43" s="44"/>
      <c r="Q43" s="44"/>
      <c r="R43" s="44"/>
      <c r="S43" s="44"/>
      <c r="T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6"/>
      <c r="AL43" s="46"/>
      <c r="AM43" s="44"/>
      <c r="AN43" s="44"/>
      <c r="AO43" s="44"/>
      <c r="AP43" s="44"/>
    </row>
    <row r="44" spans="1:42" x14ac:dyDescent="0.2">
      <c r="A44" s="46" t="s">
        <v>181</v>
      </c>
      <c r="B44" s="33">
        <v>0</v>
      </c>
      <c r="C44" s="46">
        <v>4</v>
      </c>
      <c r="D44">
        <f t="shared" si="0"/>
        <v>11</v>
      </c>
      <c r="E44">
        <v>0</v>
      </c>
      <c r="F44" s="44"/>
      <c r="G44" s="44"/>
      <c r="I44" s="44"/>
      <c r="J44" s="48"/>
      <c r="K44" s="44"/>
      <c r="L44" s="44"/>
      <c r="M44" s="44"/>
      <c r="N44" s="44"/>
      <c r="P44" s="44"/>
      <c r="Q44" s="44"/>
      <c r="R44" s="44"/>
      <c r="S44" s="44"/>
      <c r="T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6"/>
      <c r="AL44" s="46"/>
      <c r="AM44" s="44"/>
      <c r="AN44" s="44"/>
      <c r="AO44" s="44"/>
      <c r="AP44" s="44"/>
    </row>
    <row r="45" spans="1:42" x14ac:dyDescent="0.2">
      <c r="A45" s="47" t="s">
        <v>182</v>
      </c>
      <c r="B45" s="33">
        <v>0</v>
      </c>
      <c r="C45" s="46">
        <v>4</v>
      </c>
      <c r="D45">
        <f t="shared" si="0"/>
        <v>11</v>
      </c>
      <c r="E45">
        <v>0</v>
      </c>
      <c r="F45" s="44"/>
      <c r="G45" s="44"/>
      <c r="I45" s="44"/>
      <c r="J45" s="44"/>
      <c r="K45" s="44"/>
      <c r="L45" s="44"/>
      <c r="M45" s="44"/>
      <c r="N45" s="44"/>
      <c r="P45" s="44"/>
      <c r="Q45" s="44"/>
      <c r="R45" s="44"/>
      <c r="S45" s="44"/>
      <c r="T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6"/>
      <c r="AL45" s="46"/>
      <c r="AM45" s="44"/>
      <c r="AN45" s="44"/>
      <c r="AO45" s="44"/>
      <c r="AP45" s="44"/>
    </row>
    <row r="46" spans="1:42" x14ac:dyDescent="0.2">
      <c r="A46" s="46" t="s">
        <v>183</v>
      </c>
      <c r="B46" s="33">
        <v>0</v>
      </c>
      <c r="C46" s="46">
        <v>4</v>
      </c>
      <c r="D46">
        <f t="shared" si="0"/>
        <v>11</v>
      </c>
      <c r="E46">
        <v>0</v>
      </c>
      <c r="F46" s="44"/>
      <c r="G46" s="44"/>
      <c r="I46" s="44"/>
      <c r="J46" s="44"/>
      <c r="K46" s="44"/>
      <c r="L46" s="44"/>
      <c r="M46" s="44"/>
      <c r="N46" s="44"/>
      <c r="P46" s="44"/>
      <c r="Q46" s="44"/>
      <c r="R46" s="44"/>
      <c r="S46" s="44"/>
      <c r="T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6"/>
      <c r="AL46" s="46"/>
      <c r="AM46" s="44"/>
      <c r="AN46" s="44"/>
      <c r="AO46" s="44"/>
      <c r="AP46" s="44"/>
    </row>
    <row r="47" spans="1:42" x14ac:dyDescent="0.2">
      <c r="A47" s="46" t="s">
        <v>229</v>
      </c>
      <c r="B47" s="33">
        <v>0</v>
      </c>
      <c r="C47" s="46">
        <v>4</v>
      </c>
      <c r="D47">
        <f t="shared" si="0"/>
        <v>11</v>
      </c>
      <c r="E47">
        <v>0</v>
      </c>
      <c r="F47" s="44"/>
      <c r="G47" s="44"/>
      <c r="I47" s="44"/>
      <c r="J47" s="48"/>
      <c r="K47" s="44"/>
      <c r="L47" s="44"/>
      <c r="M47" s="44"/>
      <c r="N47" s="44"/>
      <c r="P47" s="44"/>
      <c r="Q47" s="44"/>
      <c r="R47" s="44"/>
      <c r="S47" s="44"/>
      <c r="T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6"/>
      <c r="AL47" s="46"/>
      <c r="AM47" s="44"/>
      <c r="AN47" s="44"/>
      <c r="AO47" s="44"/>
      <c r="AP47" s="44"/>
    </row>
    <row r="48" spans="1:42" x14ac:dyDescent="0.2">
      <c r="A48" s="47" t="s">
        <v>230</v>
      </c>
      <c r="B48" s="33">
        <v>0</v>
      </c>
      <c r="C48" s="46">
        <v>4</v>
      </c>
      <c r="D48">
        <f t="shared" si="0"/>
        <v>11</v>
      </c>
      <c r="E48">
        <v>0</v>
      </c>
      <c r="F48" s="44"/>
      <c r="G48" s="44"/>
      <c r="I48" s="44"/>
      <c r="J48" s="44"/>
      <c r="K48" s="44"/>
      <c r="L48" s="44"/>
      <c r="M48" s="44"/>
      <c r="N48" s="44"/>
      <c r="P48" s="44"/>
      <c r="Q48" s="44"/>
      <c r="R48" s="44"/>
      <c r="S48" s="44"/>
      <c r="T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6"/>
      <c r="AL48" s="46"/>
      <c r="AM48" s="44"/>
      <c r="AN48" s="44"/>
      <c r="AO48" s="44"/>
      <c r="AP48" s="44"/>
    </row>
    <row r="49" spans="1:42" x14ac:dyDescent="0.2">
      <c r="A49" s="46" t="s">
        <v>237</v>
      </c>
      <c r="B49" s="33">
        <v>0</v>
      </c>
      <c r="C49" s="46">
        <v>4</v>
      </c>
      <c r="D49">
        <f t="shared" si="0"/>
        <v>11</v>
      </c>
      <c r="E49">
        <v>0</v>
      </c>
      <c r="F49" s="44"/>
      <c r="G49" s="44"/>
      <c r="I49" s="44"/>
      <c r="J49" s="44"/>
      <c r="K49" s="44"/>
      <c r="L49" s="44"/>
      <c r="M49" s="44"/>
      <c r="N49" s="44"/>
      <c r="P49" s="44"/>
      <c r="Q49" s="44"/>
      <c r="R49" s="44"/>
      <c r="S49" s="44"/>
      <c r="T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6"/>
      <c r="AL49" s="46"/>
      <c r="AM49" s="44"/>
      <c r="AN49" s="44"/>
      <c r="AO49" s="44"/>
      <c r="AP49" s="44"/>
    </row>
    <row r="50" spans="1:42" x14ac:dyDescent="0.2">
      <c r="A50" s="46" t="s">
        <v>244</v>
      </c>
      <c r="B50" s="33">
        <v>0</v>
      </c>
      <c r="C50" s="46">
        <v>4</v>
      </c>
      <c r="D50">
        <f t="shared" si="0"/>
        <v>11</v>
      </c>
      <c r="E50">
        <v>0</v>
      </c>
      <c r="F50" s="44"/>
      <c r="G50" s="44"/>
      <c r="I50" s="44"/>
      <c r="J50" s="44"/>
      <c r="K50" s="44"/>
      <c r="L50" s="44"/>
      <c r="M50" s="44"/>
      <c r="N50" s="44"/>
      <c r="P50" s="44"/>
      <c r="Q50" s="44"/>
      <c r="R50" s="44"/>
      <c r="S50" s="44"/>
      <c r="T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6"/>
      <c r="AL50" s="46"/>
      <c r="AM50" s="44"/>
      <c r="AN50" s="44"/>
      <c r="AO50" s="44"/>
      <c r="AP50" s="44"/>
    </row>
    <row r="51" spans="1:42" x14ac:dyDescent="0.2">
      <c r="A51" s="47" t="s">
        <v>247</v>
      </c>
      <c r="B51" s="33">
        <v>0</v>
      </c>
      <c r="C51" s="46">
        <v>4</v>
      </c>
      <c r="D51">
        <f t="shared" si="0"/>
        <v>11</v>
      </c>
      <c r="E51">
        <v>0</v>
      </c>
      <c r="F51" s="44"/>
      <c r="G51" s="44"/>
      <c r="I51" s="44"/>
      <c r="J51" s="48"/>
      <c r="K51" s="44"/>
      <c r="L51" s="44"/>
      <c r="M51" s="44"/>
      <c r="N51" s="44"/>
      <c r="P51" s="44"/>
      <c r="Q51" s="44"/>
      <c r="R51" s="44"/>
      <c r="S51" s="44"/>
      <c r="T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6"/>
      <c r="AL51" s="46"/>
      <c r="AM51" s="44"/>
      <c r="AN51" s="44"/>
      <c r="AO51" s="44"/>
      <c r="AP51" s="44"/>
    </row>
    <row r="52" spans="1:42" x14ac:dyDescent="0.2">
      <c r="A52" s="46" t="s">
        <v>250</v>
      </c>
      <c r="B52" s="33">
        <v>0</v>
      </c>
      <c r="C52" s="46">
        <v>4</v>
      </c>
      <c r="D52">
        <f t="shared" si="0"/>
        <v>11</v>
      </c>
      <c r="E52">
        <v>0</v>
      </c>
      <c r="F52" s="44"/>
      <c r="G52" s="44"/>
      <c r="I52" s="44"/>
      <c r="J52" s="44"/>
      <c r="K52" s="44"/>
      <c r="L52" s="44"/>
      <c r="M52" s="44"/>
      <c r="N52" s="44"/>
      <c r="P52" s="44"/>
      <c r="Q52" s="44"/>
      <c r="R52" s="44"/>
      <c r="S52" s="44"/>
      <c r="T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6"/>
      <c r="AL52" s="46"/>
      <c r="AM52" s="44"/>
      <c r="AN52" s="44"/>
      <c r="AO52" s="44"/>
      <c r="AP52" s="44"/>
    </row>
    <row r="53" spans="1:42" x14ac:dyDescent="0.2">
      <c r="A53" s="46" t="s">
        <v>252</v>
      </c>
      <c r="B53" s="33">
        <v>0</v>
      </c>
      <c r="C53" s="46">
        <v>4</v>
      </c>
      <c r="D53">
        <f t="shared" si="0"/>
        <v>11</v>
      </c>
      <c r="E53">
        <v>0</v>
      </c>
      <c r="F53" s="44"/>
      <c r="G53" s="44"/>
      <c r="I53" s="44"/>
      <c r="J53" s="44"/>
      <c r="K53" s="44"/>
      <c r="L53" s="44"/>
      <c r="M53" s="44"/>
      <c r="N53" s="44"/>
      <c r="P53" s="44"/>
      <c r="Q53" s="44"/>
      <c r="R53" s="44"/>
      <c r="S53" s="44"/>
      <c r="T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6"/>
      <c r="AL53" s="46"/>
      <c r="AM53" s="44"/>
      <c r="AN53" s="44"/>
      <c r="AO53" s="44"/>
      <c r="AP53" s="44"/>
    </row>
    <row r="54" spans="1:42" x14ac:dyDescent="0.2">
      <c r="A54" s="47" t="s">
        <v>254</v>
      </c>
      <c r="B54" s="33">
        <v>0</v>
      </c>
      <c r="C54" s="46">
        <v>4</v>
      </c>
      <c r="D54">
        <f t="shared" si="0"/>
        <v>11</v>
      </c>
      <c r="E54">
        <v>0</v>
      </c>
      <c r="F54" s="44"/>
      <c r="G54" s="44"/>
      <c r="I54" s="44"/>
      <c r="J54" s="44"/>
      <c r="K54" s="44"/>
      <c r="L54" s="44"/>
      <c r="M54" s="44"/>
      <c r="N54" s="44"/>
      <c r="P54" s="44"/>
      <c r="Q54" s="44"/>
      <c r="R54" s="44"/>
      <c r="S54" s="44"/>
      <c r="T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6"/>
      <c r="AL54" s="46"/>
      <c r="AM54" s="44"/>
      <c r="AN54" s="44"/>
      <c r="AO54" s="44"/>
      <c r="AP54" s="44"/>
    </row>
    <row r="55" spans="1:42" x14ac:dyDescent="0.2">
      <c r="A55" s="46" t="s">
        <v>387</v>
      </c>
      <c r="B55" s="33">
        <v>0</v>
      </c>
      <c r="C55" s="46">
        <v>4</v>
      </c>
      <c r="D55">
        <f t="shared" si="0"/>
        <v>11</v>
      </c>
      <c r="E55">
        <v>0</v>
      </c>
      <c r="F55" s="44"/>
      <c r="G55" s="44"/>
      <c r="I55" s="44"/>
      <c r="J55" s="44"/>
      <c r="K55" s="44"/>
      <c r="L55" s="44"/>
      <c r="M55" s="44"/>
      <c r="N55" s="44"/>
      <c r="P55" s="44"/>
      <c r="Q55" s="44"/>
      <c r="R55" s="44"/>
      <c r="S55" s="44"/>
      <c r="T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6"/>
      <c r="AL55" s="46"/>
      <c r="AM55" s="44"/>
      <c r="AN55" s="44"/>
      <c r="AO55" s="44"/>
      <c r="AP55" s="44"/>
    </row>
    <row r="56" spans="1:42" x14ac:dyDescent="0.2">
      <c r="A56" s="46" t="s">
        <v>390</v>
      </c>
      <c r="B56" s="33">
        <v>0</v>
      </c>
      <c r="C56" s="46">
        <v>4</v>
      </c>
      <c r="D56">
        <f t="shared" si="0"/>
        <v>11</v>
      </c>
      <c r="E56">
        <v>0</v>
      </c>
      <c r="F56" s="44"/>
      <c r="G56" s="44"/>
      <c r="I56" s="44"/>
      <c r="J56" s="48"/>
      <c r="K56" s="44"/>
      <c r="L56" s="44"/>
      <c r="M56" s="44"/>
      <c r="N56" s="44"/>
      <c r="P56" s="44"/>
      <c r="Q56" s="44"/>
      <c r="R56" s="44"/>
      <c r="S56" s="44"/>
      <c r="T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6"/>
      <c r="AL56" s="46"/>
      <c r="AM56" s="44"/>
      <c r="AN56" s="44"/>
      <c r="AO56" s="44"/>
      <c r="AP56" s="44"/>
    </row>
    <row r="57" spans="1:42" x14ac:dyDescent="0.2">
      <c r="A57" s="47" t="s">
        <v>394</v>
      </c>
      <c r="B57" s="33">
        <v>0</v>
      </c>
      <c r="C57" s="46">
        <v>4</v>
      </c>
      <c r="D57">
        <f t="shared" si="0"/>
        <v>11</v>
      </c>
      <c r="E57">
        <v>0</v>
      </c>
      <c r="F57" s="44"/>
      <c r="G57" s="44"/>
      <c r="I57" s="44"/>
      <c r="J57" s="48"/>
      <c r="K57" s="44"/>
      <c r="L57" s="44"/>
      <c r="M57" s="44"/>
      <c r="N57" s="44"/>
      <c r="P57" s="44"/>
      <c r="Q57" s="44"/>
      <c r="R57" s="44"/>
      <c r="S57" s="44"/>
      <c r="T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6"/>
      <c r="AL57" s="46"/>
      <c r="AM57" s="44"/>
      <c r="AN57" s="44"/>
      <c r="AO57" s="44"/>
      <c r="AP57" s="44"/>
    </row>
    <row r="58" spans="1:42" x14ac:dyDescent="0.2">
      <c r="A58" s="47" t="s">
        <v>399</v>
      </c>
      <c r="B58" s="33">
        <v>0</v>
      </c>
      <c r="C58" s="46">
        <v>4</v>
      </c>
      <c r="D58">
        <f t="shared" si="0"/>
        <v>11</v>
      </c>
      <c r="E58">
        <v>0</v>
      </c>
      <c r="F58" s="44"/>
      <c r="G58" s="44"/>
      <c r="I58" s="44"/>
      <c r="J58" s="48"/>
      <c r="K58" s="44"/>
      <c r="L58" s="44"/>
      <c r="M58" s="44"/>
      <c r="N58" s="44"/>
      <c r="P58" s="44"/>
      <c r="Q58" s="44"/>
      <c r="R58" s="44"/>
      <c r="S58" s="44"/>
      <c r="T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6"/>
      <c r="AL58" s="46"/>
      <c r="AM58" s="44"/>
      <c r="AN58" s="44"/>
      <c r="AO58" s="44"/>
      <c r="AP58" s="44"/>
    </row>
    <row r="59" spans="1:42" x14ac:dyDescent="0.2">
      <c r="A59" s="46" t="s">
        <v>401</v>
      </c>
      <c r="B59" s="33">
        <v>0</v>
      </c>
      <c r="C59" s="46">
        <v>4</v>
      </c>
      <c r="D59">
        <f t="shared" si="0"/>
        <v>11</v>
      </c>
      <c r="E59">
        <v>0</v>
      </c>
      <c r="F59" s="44"/>
      <c r="G59" s="44"/>
      <c r="I59" s="44"/>
      <c r="J59" s="48"/>
      <c r="K59" s="44"/>
      <c r="L59" s="44"/>
      <c r="M59" s="44"/>
      <c r="N59" s="44"/>
      <c r="P59" s="44"/>
      <c r="Q59" s="44"/>
      <c r="R59" s="44"/>
      <c r="S59" s="44"/>
      <c r="T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6"/>
      <c r="AL59" s="46"/>
      <c r="AM59" s="44"/>
      <c r="AN59" s="44"/>
      <c r="AO59" s="44"/>
      <c r="AP59" s="44"/>
    </row>
    <row r="60" spans="1:42" x14ac:dyDescent="0.2">
      <c r="A60" s="46" t="s">
        <v>405</v>
      </c>
      <c r="B60" s="33">
        <v>0</v>
      </c>
      <c r="C60" s="46">
        <v>4</v>
      </c>
      <c r="D60">
        <f t="shared" si="0"/>
        <v>11</v>
      </c>
      <c r="E60">
        <v>0</v>
      </c>
      <c r="F60" s="44"/>
      <c r="G60" s="44"/>
      <c r="I60" s="44"/>
      <c r="J60" s="48"/>
      <c r="K60" s="44"/>
      <c r="L60" s="44"/>
      <c r="M60" s="44"/>
      <c r="N60" s="44"/>
      <c r="P60" s="44"/>
      <c r="Q60" s="44"/>
      <c r="R60" s="44"/>
      <c r="S60" s="44"/>
      <c r="T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6"/>
      <c r="AL60" s="46"/>
      <c r="AM60" s="44"/>
      <c r="AN60" s="44"/>
      <c r="AO60" s="44"/>
      <c r="AP60" s="44"/>
    </row>
    <row r="61" spans="1:42" x14ac:dyDescent="0.2">
      <c r="A61" s="47" t="s">
        <v>406</v>
      </c>
      <c r="B61" s="33">
        <v>0</v>
      </c>
      <c r="C61" s="46">
        <v>4</v>
      </c>
      <c r="D61">
        <f t="shared" si="0"/>
        <v>11</v>
      </c>
      <c r="E61">
        <v>0</v>
      </c>
      <c r="F61" s="44"/>
      <c r="G61" s="44"/>
      <c r="I61" s="44"/>
      <c r="J61" s="48"/>
      <c r="K61" s="44"/>
      <c r="L61" s="44"/>
      <c r="M61" s="44"/>
      <c r="N61" s="44"/>
      <c r="P61" s="44"/>
      <c r="Q61" s="44"/>
      <c r="R61" s="44"/>
      <c r="S61" s="44"/>
      <c r="T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</row>
    <row r="62" spans="1:42" x14ac:dyDescent="0.2">
      <c r="A62" s="47" t="s">
        <v>413</v>
      </c>
      <c r="B62" s="33">
        <v>0</v>
      </c>
      <c r="C62" s="46">
        <v>4</v>
      </c>
      <c r="D62">
        <f t="shared" si="0"/>
        <v>11</v>
      </c>
      <c r="E62">
        <v>0</v>
      </c>
      <c r="F62" s="44"/>
      <c r="G62" s="44"/>
      <c r="I62" s="44"/>
      <c r="J62" s="48"/>
      <c r="K62" s="44"/>
      <c r="L62" s="44"/>
      <c r="M62" s="44"/>
      <c r="N62" s="44"/>
      <c r="P62" s="44"/>
      <c r="Q62" s="44"/>
      <c r="R62" s="44"/>
      <c r="S62" s="44"/>
      <c r="T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</row>
    <row r="63" spans="1:42" x14ac:dyDescent="0.2">
      <c r="A63" s="46" t="s">
        <v>112</v>
      </c>
      <c r="B63" s="33">
        <v>0</v>
      </c>
      <c r="C63" s="46">
        <v>5</v>
      </c>
      <c r="D63">
        <f t="shared" si="0"/>
        <v>12</v>
      </c>
      <c r="E63">
        <v>0</v>
      </c>
      <c r="F63" s="44"/>
      <c r="G63" s="44"/>
      <c r="I63" s="44"/>
      <c r="J63" s="48"/>
      <c r="K63" s="44"/>
      <c r="L63" s="44"/>
      <c r="M63" s="44"/>
      <c r="N63" s="44"/>
      <c r="P63" s="44"/>
      <c r="Q63" s="44"/>
      <c r="R63" s="44"/>
      <c r="S63" s="44"/>
      <c r="T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</row>
    <row r="64" spans="1:42" x14ac:dyDescent="0.2">
      <c r="A64" s="46" t="s">
        <v>113</v>
      </c>
      <c r="B64" s="33">
        <v>0</v>
      </c>
      <c r="C64" s="46">
        <v>5</v>
      </c>
      <c r="D64">
        <f t="shared" si="0"/>
        <v>12</v>
      </c>
      <c r="E64">
        <v>0</v>
      </c>
      <c r="F64" s="44"/>
      <c r="G64" s="44"/>
      <c r="I64" s="44"/>
      <c r="J64" s="48"/>
      <c r="K64" s="44"/>
      <c r="L64" s="46"/>
      <c r="M64" s="46"/>
      <c r="N64" s="44"/>
      <c r="P64" s="44"/>
      <c r="Q64" s="44"/>
      <c r="R64" s="44"/>
      <c r="S64" s="44"/>
      <c r="T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</row>
    <row r="65" spans="1:42" x14ac:dyDescent="0.2">
      <c r="A65" s="47" t="s">
        <v>133</v>
      </c>
      <c r="B65" s="33">
        <v>0</v>
      </c>
      <c r="C65" s="46">
        <v>5</v>
      </c>
      <c r="D65">
        <f t="shared" si="0"/>
        <v>12</v>
      </c>
      <c r="E65">
        <v>0</v>
      </c>
      <c r="F65" s="44"/>
      <c r="G65" s="44"/>
      <c r="I65" s="44"/>
      <c r="J65" s="48"/>
      <c r="K65" s="44"/>
      <c r="L65" s="46"/>
      <c r="M65" s="46"/>
      <c r="N65" s="44"/>
      <c r="P65" s="44"/>
      <c r="Q65" s="44"/>
      <c r="R65" s="44"/>
      <c r="S65" s="44"/>
      <c r="T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</row>
    <row r="66" spans="1:42" x14ac:dyDescent="0.2">
      <c r="A66" s="47" t="s">
        <v>135</v>
      </c>
      <c r="B66" s="33">
        <v>0</v>
      </c>
      <c r="C66" s="46">
        <v>5</v>
      </c>
      <c r="D66">
        <f t="shared" si="0"/>
        <v>12</v>
      </c>
      <c r="E66">
        <v>0</v>
      </c>
      <c r="F66" s="44"/>
      <c r="G66" s="44"/>
      <c r="I66" s="44"/>
      <c r="J66" s="48"/>
      <c r="K66" s="44"/>
      <c r="L66" s="44"/>
      <c r="M66" s="44"/>
      <c r="N66" s="44"/>
      <c r="P66" s="44"/>
      <c r="Q66" s="44"/>
      <c r="R66" s="44"/>
      <c r="S66" s="44"/>
      <c r="T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</row>
    <row r="67" spans="1:42" x14ac:dyDescent="0.2">
      <c r="A67" s="46" t="s">
        <v>137</v>
      </c>
      <c r="B67" s="33">
        <v>0</v>
      </c>
      <c r="C67" s="46">
        <v>5</v>
      </c>
      <c r="D67">
        <f t="shared" ref="D67:D130" si="1">C67+7</f>
        <v>12</v>
      </c>
      <c r="E67">
        <v>0</v>
      </c>
      <c r="F67" s="44"/>
      <c r="G67" s="44"/>
      <c r="I67" s="44"/>
      <c r="J67" s="48"/>
      <c r="K67" s="44"/>
      <c r="L67" s="44"/>
      <c r="M67" s="44"/>
      <c r="N67" s="44"/>
      <c r="P67" s="44"/>
      <c r="Q67" s="44"/>
      <c r="R67" s="44"/>
      <c r="S67" s="44"/>
      <c r="T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</row>
    <row r="68" spans="1:42" x14ac:dyDescent="0.2">
      <c r="A68" s="46" t="s">
        <v>138</v>
      </c>
      <c r="B68" s="33">
        <v>0</v>
      </c>
      <c r="C68" s="46">
        <v>5</v>
      </c>
      <c r="D68">
        <f t="shared" si="1"/>
        <v>12</v>
      </c>
      <c r="E68">
        <v>0</v>
      </c>
      <c r="F68" s="44"/>
      <c r="G68" s="44"/>
      <c r="I68" s="44"/>
      <c r="J68" s="48"/>
      <c r="K68" s="44"/>
      <c r="L68" s="44"/>
      <c r="M68" s="44"/>
      <c r="N68" s="44"/>
      <c r="P68" s="44"/>
      <c r="Q68" s="44"/>
      <c r="R68" s="44"/>
      <c r="S68" s="44"/>
      <c r="T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</row>
    <row r="69" spans="1:42" x14ac:dyDescent="0.2">
      <c r="A69" s="47" t="s">
        <v>147</v>
      </c>
      <c r="B69" s="33">
        <v>0</v>
      </c>
      <c r="C69" s="46">
        <v>5</v>
      </c>
      <c r="D69">
        <f t="shared" si="1"/>
        <v>12</v>
      </c>
      <c r="E69">
        <v>0</v>
      </c>
      <c r="F69" s="44"/>
      <c r="G69" s="44"/>
      <c r="I69" s="44"/>
      <c r="J69" s="48"/>
      <c r="K69" s="44"/>
      <c r="L69" s="44"/>
      <c r="M69" s="44"/>
      <c r="N69" s="44"/>
      <c r="P69" s="44"/>
      <c r="Q69" s="44"/>
      <c r="R69" s="44"/>
      <c r="S69" s="44"/>
      <c r="T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</row>
    <row r="70" spans="1:42" x14ac:dyDescent="0.2">
      <c r="A70" s="47" t="s">
        <v>151</v>
      </c>
      <c r="B70" s="33">
        <v>0</v>
      </c>
      <c r="C70" s="46">
        <v>5</v>
      </c>
      <c r="D70">
        <f t="shared" si="1"/>
        <v>12</v>
      </c>
      <c r="E70">
        <v>0</v>
      </c>
      <c r="F70" s="44"/>
      <c r="G70" s="44"/>
      <c r="I70" s="44"/>
      <c r="J70" s="48"/>
      <c r="K70" s="44"/>
      <c r="L70" s="44"/>
      <c r="M70" s="44"/>
      <c r="N70" s="44"/>
      <c r="P70" s="44"/>
      <c r="Q70" s="44"/>
      <c r="R70" s="44"/>
      <c r="S70" s="44"/>
      <c r="T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</row>
    <row r="71" spans="1:42" x14ac:dyDescent="0.2">
      <c r="A71" s="46" t="s">
        <v>152</v>
      </c>
      <c r="B71" s="33">
        <v>0</v>
      </c>
      <c r="C71" s="46">
        <v>5</v>
      </c>
      <c r="D71">
        <f t="shared" si="1"/>
        <v>12</v>
      </c>
      <c r="E71">
        <v>0</v>
      </c>
      <c r="F71" s="44"/>
      <c r="G71" s="44"/>
      <c r="I71" s="44"/>
      <c r="J71" s="48"/>
      <c r="K71" s="44"/>
      <c r="L71" s="44"/>
      <c r="M71" s="44"/>
      <c r="N71" s="44"/>
      <c r="P71" s="44"/>
      <c r="Q71" s="44"/>
      <c r="R71" s="44"/>
      <c r="S71" s="44"/>
      <c r="T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</row>
    <row r="72" spans="1:42" x14ac:dyDescent="0.2">
      <c r="A72" s="47" t="s">
        <v>157</v>
      </c>
      <c r="B72" s="33">
        <v>0</v>
      </c>
      <c r="C72" s="46">
        <v>5</v>
      </c>
      <c r="D72">
        <f t="shared" si="1"/>
        <v>12</v>
      </c>
      <c r="E72">
        <v>0</v>
      </c>
      <c r="F72" s="44"/>
      <c r="G72" s="44"/>
      <c r="I72" s="44"/>
      <c r="J72" s="48"/>
      <c r="K72" s="44"/>
      <c r="L72" s="44"/>
      <c r="M72" s="44"/>
      <c r="N72" s="44"/>
      <c r="P72" s="44"/>
      <c r="Q72" s="44"/>
      <c r="R72" s="44"/>
      <c r="S72" s="44"/>
      <c r="T72" s="44"/>
      <c r="V72" s="44"/>
      <c r="W72" s="44"/>
      <c r="X72" s="44"/>
      <c r="Y72" s="44"/>
      <c r="Z72" s="44"/>
      <c r="AA72" s="44"/>
      <c r="AB72" s="46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</row>
    <row r="73" spans="1:42" x14ac:dyDescent="0.2">
      <c r="A73" s="46" t="s">
        <v>159</v>
      </c>
      <c r="B73" s="33">
        <v>0</v>
      </c>
      <c r="C73" s="46">
        <v>5</v>
      </c>
      <c r="D73">
        <f t="shared" si="1"/>
        <v>12</v>
      </c>
      <c r="E73">
        <v>0</v>
      </c>
      <c r="F73" s="44"/>
      <c r="G73" s="44"/>
      <c r="I73" s="44"/>
      <c r="J73" s="48"/>
      <c r="K73" s="44"/>
      <c r="L73" s="44"/>
      <c r="M73" s="44"/>
      <c r="N73" s="44"/>
      <c r="P73" s="44"/>
      <c r="Q73" s="44"/>
      <c r="R73" s="44"/>
      <c r="S73" s="44"/>
      <c r="T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</row>
    <row r="74" spans="1:42" x14ac:dyDescent="0.2">
      <c r="A74" s="46" t="s">
        <v>160</v>
      </c>
      <c r="B74" s="33">
        <v>0</v>
      </c>
      <c r="C74" s="46">
        <v>5</v>
      </c>
      <c r="D74">
        <f t="shared" si="1"/>
        <v>12</v>
      </c>
      <c r="E74">
        <v>0</v>
      </c>
      <c r="F74" s="44"/>
      <c r="G74" s="44"/>
      <c r="I74" s="44"/>
      <c r="J74" s="48"/>
      <c r="K74" s="44"/>
      <c r="L74" s="44"/>
      <c r="M74" s="44"/>
      <c r="N74" s="44"/>
      <c r="P74" s="44"/>
      <c r="Q74" s="44"/>
      <c r="R74" s="44"/>
      <c r="S74" s="44"/>
      <c r="T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</row>
    <row r="75" spans="1:42" x14ac:dyDescent="0.2">
      <c r="A75" s="47" t="s">
        <v>164</v>
      </c>
      <c r="B75" s="33">
        <v>0</v>
      </c>
      <c r="C75" s="46">
        <v>5</v>
      </c>
      <c r="D75">
        <f t="shared" si="1"/>
        <v>12</v>
      </c>
      <c r="E75">
        <v>0</v>
      </c>
      <c r="F75" s="44"/>
      <c r="G75" s="44"/>
      <c r="I75" s="44"/>
      <c r="J75" s="48"/>
      <c r="K75" s="44"/>
      <c r="L75" s="44"/>
      <c r="M75" s="44"/>
      <c r="N75" s="44"/>
      <c r="P75" s="44"/>
      <c r="Q75" s="44"/>
      <c r="R75" s="44"/>
      <c r="S75" s="44"/>
      <c r="T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</row>
    <row r="76" spans="1:42" x14ac:dyDescent="0.2">
      <c r="A76" s="47" t="s">
        <v>165</v>
      </c>
      <c r="B76" s="33">
        <v>0</v>
      </c>
      <c r="C76" s="46">
        <v>5</v>
      </c>
      <c r="D76">
        <f t="shared" si="1"/>
        <v>12</v>
      </c>
      <c r="E76">
        <v>0</v>
      </c>
      <c r="F76" s="44"/>
      <c r="G76" s="44"/>
      <c r="I76" s="44"/>
      <c r="J76" s="48"/>
      <c r="K76" s="44"/>
      <c r="L76" s="44"/>
      <c r="M76" s="44"/>
      <c r="N76" s="44"/>
      <c r="P76" s="44"/>
      <c r="Q76" s="44"/>
      <c r="R76" s="44"/>
      <c r="S76" s="44"/>
      <c r="T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</row>
    <row r="77" spans="1:42" x14ac:dyDescent="0.2">
      <c r="A77" s="46" t="s">
        <v>167</v>
      </c>
      <c r="B77" s="33">
        <v>0</v>
      </c>
      <c r="C77" s="46">
        <v>5</v>
      </c>
      <c r="D77">
        <f t="shared" si="1"/>
        <v>12</v>
      </c>
      <c r="E77">
        <v>0</v>
      </c>
      <c r="F77" s="44"/>
      <c r="G77" s="44"/>
      <c r="I77" s="44"/>
      <c r="J77" s="48"/>
      <c r="K77" s="44"/>
      <c r="L77" s="44"/>
      <c r="M77" s="44"/>
      <c r="N77" s="44"/>
      <c r="P77" s="44"/>
      <c r="Q77" s="44"/>
      <c r="R77" s="44"/>
      <c r="S77" s="44"/>
      <c r="T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</row>
    <row r="78" spans="1:42" x14ac:dyDescent="0.2">
      <c r="A78" s="47" t="s">
        <v>169</v>
      </c>
      <c r="B78" s="33">
        <v>0</v>
      </c>
      <c r="C78" s="46">
        <v>5</v>
      </c>
      <c r="D78">
        <f t="shared" si="1"/>
        <v>12</v>
      </c>
      <c r="E78">
        <v>0</v>
      </c>
      <c r="F78" s="44"/>
      <c r="G78" s="44"/>
      <c r="I78" s="44"/>
      <c r="J78" s="48"/>
      <c r="K78" s="44"/>
      <c r="L78" s="44"/>
      <c r="M78" s="44"/>
      <c r="N78" s="44"/>
      <c r="P78" s="44"/>
      <c r="Q78" s="44"/>
      <c r="R78" s="44"/>
      <c r="S78" s="44"/>
      <c r="T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</row>
    <row r="79" spans="1:42" x14ac:dyDescent="0.2">
      <c r="A79" s="47" t="s">
        <v>187</v>
      </c>
      <c r="B79" s="33">
        <v>0</v>
      </c>
      <c r="C79" s="46">
        <v>5</v>
      </c>
      <c r="D79">
        <f t="shared" si="1"/>
        <v>12</v>
      </c>
      <c r="E79">
        <v>0</v>
      </c>
      <c r="F79" s="44"/>
      <c r="G79" s="44"/>
      <c r="I79" s="44"/>
      <c r="J79" s="48"/>
      <c r="K79" s="44"/>
      <c r="L79" s="44"/>
      <c r="M79" s="44"/>
      <c r="N79" s="44"/>
      <c r="P79" s="44"/>
      <c r="Q79" s="44"/>
      <c r="R79" s="44"/>
      <c r="S79" s="44"/>
      <c r="T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</row>
    <row r="80" spans="1:42" x14ac:dyDescent="0.2">
      <c r="A80" s="49" t="s">
        <v>170</v>
      </c>
      <c r="B80" s="33">
        <v>0</v>
      </c>
      <c r="C80" s="46">
        <v>5</v>
      </c>
      <c r="D80">
        <f t="shared" si="1"/>
        <v>12</v>
      </c>
      <c r="E80">
        <v>0</v>
      </c>
      <c r="F80" s="44"/>
      <c r="G80" s="44"/>
      <c r="I80" s="44"/>
      <c r="J80" s="48"/>
      <c r="K80" s="44"/>
      <c r="L80" s="44"/>
      <c r="M80" s="44"/>
      <c r="N80" s="44"/>
      <c r="P80" s="44"/>
      <c r="Q80" s="44"/>
      <c r="R80" s="44"/>
      <c r="S80" s="44"/>
      <c r="T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</row>
    <row r="81" spans="1:42" x14ac:dyDescent="0.2">
      <c r="A81" s="49" t="s">
        <v>171</v>
      </c>
      <c r="B81" s="33">
        <v>0</v>
      </c>
      <c r="C81" s="46">
        <v>5</v>
      </c>
      <c r="D81">
        <f t="shared" si="1"/>
        <v>12</v>
      </c>
      <c r="E81">
        <v>0</v>
      </c>
      <c r="F81" s="44"/>
      <c r="G81" s="44"/>
      <c r="I81" s="44"/>
      <c r="J81" s="48"/>
      <c r="K81" s="44"/>
      <c r="L81" s="44"/>
      <c r="M81" s="44"/>
      <c r="N81" s="44"/>
      <c r="P81" s="44"/>
      <c r="Q81" s="44"/>
      <c r="R81" s="44"/>
      <c r="S81" s="44"/>
      <c r="T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</row>
    <row r="82" spans="1:42" x14ac:dyDescent="0.2">
      <c r="A82" s="49" t="s">
        <v>172</v>
      </c>
      <c r="B82" s="33">
        <v>0</v>
      </c>
      <c r="C82" s="46">
        <v>5</v>
      </c>
      <c r="D82">
        <f t="shared" si="1"/>
        <v>12</v>
      </c>
      <c r="E82">
        <v>0</v>
      </c>
      <c r="F82" s="44"/>
      <c r="G82" s="44"/>
      <c r="I82" s="44"/>
      <c r="J82" s="48"/>
      <c r="K82" s="44"/>
      <c r="L82" s="44"/>
      <c r="M82" s="44"/>
      <c r="N82" s="44"/>
      <c r="P82" s="44"/>
      <c r="Q82" s="44"/>
      <c r="R82" s="44"/>
      <c r="S82" s="44"/>
      <c r="T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</row>
    <row r="83" spans="1:42" x14ac:dyDescent="0.2">
      <c r="A83" s="46" t="s">
        <v>257</v>
      </c>
      <c r="B83" s="33">
        <v>0</v>
      </c>
      <c r="C83" s="46">
        <v>6</v>
      </c>
      <c r="D83">
        <f t="shared" si="1"/>
        <v>13</v>
      </c>
      <c r="E83">
        <v>0</v>
      </c>
      <c r="F83" s="44"/>
      <c r="G83" s="44"/>
      <c r="I83" s="44"/>
      <c r="J83" s="48"/>
      <c r="K83" s="44"/>
      <c r="L83" s="44"/>
      <c r="M83" s="44"/>
      <c r="N83" s="44"/>
      <c r="P83" s="44"/>
      <c r="Q83" s="44"/>
      <c r="R83" s="44"/>
      <c r="S83" s="44"/>
      <c r="T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</row>
    <row r="84" spans="1:42" x14ac:dyDescent="0.2">
      <c r="A84" s="47" t="s">
        <v>259</v>
      </c>
      <c r="B84" s="33">
        <v>0</v>
      </c>
      <c r="C84" s="46">
        <v>6</v>
      </c>
      <c r="D84">
        <f t="shared" si="1"/>
        <v>13</v>
      </c>
      <c r="E84">
        <v>0</v>
      </c>
      <c r="F84" s="44"/>
      <c r="G84" s="44"/>
      <c r="I84" s="44"/>
      <c r="J84" s="48"/>
      <c r="K84" s="44"/>
      <c r="L84" s="44"/>
      <c r="M84" s="44"/>
      <c r="N84" s="44"/>
      <c r="P84" s="44"/>
      <c r="Q84" s="44"/>
      <c r="R84" s="44"/>
      <c r="S84" s="44"/>
      <c r="T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</row>
    <row r="85" spans="1:42" x14ac:dyDescent="0.2">
      <c r="A85" s="47" t="s">
        <v>260</v>
      </c>
      <c r="B85" s="33">
        <v>0</v>
      </c>
      <c r="C85" s="46">
        <v>6</v>
      </c>
      <c r="D85">
        <f t="shared" si="1"/>
        <v>13</v>
      </c>
      <c r="E85">
        <v>0</v>
      </c>
      <c r="F85" s="44"/>
      <c r="G85" s="44"/>
      <c r="I85" s="44"/>
      <c r="J85" s="48"/>
      <c r="K85" s="44"/>
      <c r="L85" s="44"/>
      <c r="M85" s="44"/>
      <c r="N85" s="44"/>
      <c r="P85" s="44"/>
      <c r="Q85" s="44"/>
      <c r="R85" s="44"/>
      <c r="S85" s="44"/>
      <c r="T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</row>
    <row r="86" spans="1:42" x14ac:dyDescent="0.2">
      <c r="A86" s="46" t="s">
        <v>261</v>
      </c>
      <c r="B86" s="33">
        <v>0</v>
      </c>
      <c r="C86" s="46">
        <v>6</v>
      </c>
      <c r="D86">
        <f t="shared" si="1"/>
        <v>13</v>
      </c>
      <c r="E86">
        <v>0</v>
      </c>
      <c r="F86" s="44"/>
      <c r="G86" s="44"/>
      <c r="I86" s="44"/>
      <c r="J86" s="48"/>
      <c r="K86" s="44"/>
      <c r="L86" s="44"/>
      <c r="M86" s="44"/>
      <c r="N86" s="44"/>
      <c r="P86" s="44"/>
      <c r="Q86" s="44"/>
      <c r="R86" s="44"/>
      <c r="S86" s="44"/>
      <c r="T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</row>
    <row r="87" spans="1:42" x14ac:dyDescent="0.2">
      <c r="A87" s="47" t="s">
        <v>262</v>
      </c>
      <c r="B87" s="33">
        <v>0</v>
      </c>
      <c r="C87" s="46">
        <v>6</v>
      </c>
      <c r="D87">
        <f t="shared" si="1"/>
        <v>13</v>
      </c>
      <c r="E87">
        <v>0</v>
      </c>
      <c r="F87" s="44"/>
      <c r="G87" s="44"/>
      <c r="I87" s="44"/>
      <c r="J87" s="48"/>
      <c r="K87" s="44"/>
      <c r="L87" s="44"/>
      <c r="M87" s="44"/>
      <c r="N87" s="44"/>
      <c r="P87" s="44"/>
      <c r="Q87" s="44"/>
      <c r="R87" s="44"/>
      <c r="S87" s="44"/>
      <c r="T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</row>
    <row r="88" spans="1:42" x14ac:dyDescent="0.2">
      <c r="A88" s="47" t="s">
        <v>264</v>
      </c>
      <c r="B88" s="33">
        <v>0</v>
      </c>
      <c r="C88" s="46">
        <v>6</v>
      </c>
      <c r="D88">
        <f t="shared" si="1"/>
        <v>13</v>
      </c>
      <c r="E88">
        <v>0</v>
      </c>
      <c r="F88" s="44"/>
      <c r="G88" s="44"/>
      <c r="I88" s="44"/>
      <c r="J88" s="48"/>
      <c r="K88" s="44"/>
      <c r="L88" s="44"/>
      <c r="M88" s="44"/>
      <c r="N88" s="44"/>
      <c r="P88" s="44"/>
      <c r="Q88" s="44"/>
      <c r="R88" s="44"/>
      <c r="S88" s="44"/>
      <c r="T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</row>
    <row r="89" spans="1:42" x14ac:dyDescent="0.2">
      <c r="A89" s="47" t="s">
        <v>268</v>
      </c>
      <c r="B89" s="33">
        <v>0</v>
      </c>
      <c r="C89" s="46">
        <v>6</v>
      </c>
      <c r="D89">
        <f t="shared" si="1"/>
        <v>13</v>
      </c>
      <c r="E89">
        <v>0</v>
      </c>
      <c r="F89" s="44"/>
      <c r="G89" s="44"/>
      <c r="I89" s="44"/>
      <c r="J89" s="48"/>
      <c r="K89" s="44"/>
      <c r="L89" s="44"/>
      <c r="M89" s="44"/>
      <c r="N89" s="44"/>
      <c r="P89" s="44"/>
      <c r="Q89" s="44"/>
      <c r="R89" s="44"/>
      <c r="S89" s="44"/>
      <c r="T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</row>
    <row r="90" spans="1:42" x14ac:dyDescent="0.2">
      <c r="A90" s="46" t="s">
        <v>275</v>
      </c>
      <c r="B90" s="33">
        <v>0</v>
      </c>
      <c r="C90" s="46">
        <v>6</v>
      </c>
      <c r="D90">
        <f t="shared" si="1"/>
        <v>13</v>
      </c>
      <c r="E90">
        <v>0</v>
      </c>
      <c r="F90" s="44"/>
      <c r="G90" s="44"/>
      <c r="I90" s="44"/>
      <c r="J90" s="48"/>
      <c r="K90" s="44"/>
      <c r="L90" s="44"/>
      <c r="M90" s="44"/>
      <c r="N90" s="44"/>
      <c r="P90" s="44"/>
      <c r="Q90" s="44"/>
      <c r="R90" s="44"/>
      <c r="S90" s="44"/>
      <c r="T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</row>
    <row r="91" spans="1:42" x14ac:dyDescent="0.2">
      <c r="A91" s="47" t="s">
        <v>282</v>
      </c>
      <c r="B91" s="33">
        <v>0</v>
      </c>
      <c r="C91" s="46">
        <v>6</v>
      </c>
      <c r="D91">
        <f t="shared" si="1"/>
        <v>13</v>
      </c>
      <c r="E91">
        <v>0</v>
      </c>
      <c r="F91" s="44"/>
      <c r="G91" s="44"/>
      <c r="I91" s="44"/>
      <c r="J91" s="48"/>
      <c r="K91" s="44"/>
      <c r="L91" s="44"/>
      <c r="M91" s="44"/>
      <c r="N91" s="44"/>
      <c r="P91" s="44"/>
      <c r="Q91" s="44"/>
      <c r="R91" s="44"/>
      <c r="S91" s="44"/>
      <c r="T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</row>
    <row r="92" spans="1:42" x14ac:dyDescent="0.2">
      <c r="A92" s="47" t="s">
        <v>286</v>
      </c>
      <c r="B92" s="33">
        <v>0</v>
      </c>
      <c r="C92" s="46">
        <v>6</v>
      </c>
      <c r="D92">
        <f t="shared" si="1"/>
        <v>13</v>
      </c>
      <c r="E92">
        <v>0</v>
      </c>
      <c r="F92" s="44"/>
      <c r="G92" s="44"/>
      <c r="I92" s="44"/>
      <c r="J92" s="48"/>
      <c r="K92" s="44"/>
      <c r="L92" s="44"/>
      <c r="M92" s="44"/>
      <c r="N92" s="44"/>
      <c r="P92" s="44"/>
      <c r="Q92" s="44"/>
      <c r="R92" s="44"/>
      <c r="S92" s="44"/>
      <c r="T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</row>
    <row r="93" spans="1:42" x14ac:dyDescent="0.2">
      <c r="A93" s="47" t="s">
        <v>287</v>
      </c>
      <c r="B93" s="33">
        <v>0</v>
      </c>
      <c r="C93" s="46">
        <v>6</v>
      </c>
      <c r="D93">
        <f t="shared" si="1"/>
        <v>13</v>
      </c>
      <c r="E93">
        <v>0</v>
      </c>
      <c r="F93" s="44"/>
      <c r="G93" s="44"/>
      <c r="I93" s="44"/>
      <c r="J93" s="48"/>
      <c r="K93" s="44"/>
      <c r="L93" s="44"/>
      <c r="M93" s="44"/>
      <c r="N93" s="44"/>
      <c r="P93" s="44"/>
      <c r="Q93" s="44"/>
      <c r="R93" s="44"/>
      <c r="S93" s="44"/>
      <c r="T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</row>
    <row r="94" spans="1:42" x14ac:dyDescent="0.2">
      <c r="A94" s="49" t="s">
        <v>191</v>
      </c>
      <c r="B94" s="33">
        <v>0</v>
      </c>
      <c r="C94" s="46">
        <v>6</v>
      </c>
      <c r="D94">
        <f t="shared" si="1"/>
        <v>13</v>
      </c>
      <c r="E94">
        <v>0</v>
      </c>
      <c r="F94" s="44"/>
      <c r="G94" s="44"/>
      <c r="I94" s="44"/>
      <c r="J94" s="48"/>
      <c r="K94" s="44"/>
      <c r="L94" s="44"/>
      <c r="M94" s="44"/>
      <c r="N94" s="44"/>
      <c r="P94" s="44"/>
      <c r="Q94" s="44"/>
      <c r="R94" s="44"/>
      <c r="S94" s="44"/>
      <c r="T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</row>
    <row r="95" spans="1:42" x14ac:dyDescent="0.2">
      <c r="A95" s="49" t="s">
        <v>192</v>
      </c>
      <c r="B95" s="33">
        <v>0</v>
      </c>
      <c r="C95" s="46">
        <v>6</v>
      </c>
      <c r="D95">
        <f t="shared" si="1"/>
        <v>13</v>
      </c>
      <c r="E95">
        <v>0</v>
      </c>
      <c r="F95" s="44"/>
      <c r="G95" s="44"/>
      <c r="I95" s="44"/>
      <c r="J95" s="48"/>
      <c r="K95" s="44"/>
      <c r="L95" s="44"/>
      <c r="M95" s="44"/>
      <c r="N95" s="44"/>
      <c r="P95" s="44"/>
      <c r="Q95" s="44"/>
      <c r="R95" s="44"/>
      <c r="S95" s="44"/>
      <c r="T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</row>
    <row r="96" spans="1:42" x14ac:dyDescent="0.2">
      <c r="A96" s="49" t="s">
        <v>193</v>
      </c>
      <c r="B96" s="33">
        <v>0</v>
      </c>
      <c r="C96" s="46">
        <v>6</v>
      </c>
      <c r="D96">
        <f t="shared" si="1"/>
        <v>13</v>
      </c>
      <c r="E96">
        <v>0</v>
      </c>
      <c r="F96" s="44"/>
      <c r="G96" s="44"/>
      <c r="I96" s="44"/>
      <c r="J96" s="48"/>
      <c r="K96" s="44"/>
      <c r="L96" s="44"/>
      <c r="M96" s="44"/>
      <c r="N96" s="44"/>
      <c r="P96" s="44"/>
      <c r="Q96" s="44"/>
      <c r="R96" s="44"/>
      <c r="S96" s="44"/>
      <c r="T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</row>
    <row r="97" spans="1:42" x14ac:dyDescent="0.2">
      <c r="A97" s="49" t="s">
        <v>194</v>
      </c>
      <c r="B97" s="33">
        <v>0</v>
      </c>
      <c r="C97" s="46">
        <v>6</v>
      </c>
      <c r="D97">
        <f t="shared" si="1"/>
        <v>13</v>
      </c>
      <c r="E97">
        <v>0</v>
      </c>
      <c r="F97" s="44"/>
      <c r="G97" s="44"/>
      <c r="I97" s="44"/>
      <c r="J97" s="48"/>
      <c r="K97" s="44"/>
      <c r="L97" s="44"/>
      <c r="M97" s="44"/>
      <c r="N97" s="44"/>
      <c r="P97" s="44"/>
      <c r="Q97" s="44"/>
      <c r="R97" s="44"/>
      <c r="S97" s="44"/>
      <c r="T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</row>
    <row r="98" spans="1:42" x14ac:dyDescent="0.2">
      <c r="A98" s="49" t="s">
        <v>195</v>
      </c>
      <c r="B98" s="33">
        <v>0</v>
      </c>
      <c r="C98" s="46">
        <v>6</v>
      </c>
      <c r="D98">
        <f t="shared" si="1"/>
        <v>13</v>
      </c>
      <c r="E98">
        <v>0</v>
      </c>
      <c r="F98" s="44"/>
      <c r="G98" s="44"/>
      <c r="I98" s="44"/>
      <c r="J98" s="48"/>
      <c r="K98" s="44"/>
      <c r="L98" s="44"/>
      <c r="M98" s="44"/>
      <c r="N98" s="44"/>
      <c r="P98" s="44"/>
      <c r="Q98" s="44"/>
      <c r="R98" s="44"/>
      <c r="S98" s="44"/>
      <c r="T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</row>
    <row r="99" spans="1:42" x14ac:dyDescent="0.2">
      <c r="A99" s="49" t="s">
        <v>196</v>
      </c>
      <c r="B99" s="33">
        <v>0</v>
      </c>
      <c r="C99" s="46">
        <v>6</v>
      </c>
      <c r="D99">
        <f t="shared" si="1"/>
        <v>13</v>
      </c>
      <c r="E99">
        <v>0</v>
      </c>
      <c r="F99" s="44"/>
      <c r="G99" s="44"/>
      <c r="I99" s="44"/>
      <c r="J99" s="48"/>
      <c r="K99" s="44"/>
      <c r="L99" s="44"/>
      <c r="M99" s="44"/>
      <c r="N99" s="44"/>
      <c r="P99" s="44"/>
      <c r="Q99" s="44"/>
      <c r="R99" s="44"/>
      <c r="S99" s="44"/>
      <c r="T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</row>
    <row r="100" spans="1:42" x14ac:dyDescent="0.2">
      <c r="A100" s="46" t="s">
        <v>301</v>
      </c>
      <c r="B100" s="33">
        <v>1</v>
      </c>
      <c r="C100" s="46">
        <v>2</v>
      </c>
      <c r="D100">
        <f t="shared" si="1"/>
        <v>9</v>
      </c>
      <c r="E100" s="33">
        <v>965</v>
      </c>
      <c r="F100" s="44"/>
      <c r="G100" s="44"/>
      <c r="I100" s="44"/>
      <c r="J100" s="48"/>
      <c r="K100" s="44"/>
      <c r="L100" s="44"/>
      <c r="M100" s="44"/>
      <c r="N100" s="44"/>
      <c r="P100" s="44"/>
      <c r="Q100" s="44"/>
      <c r="R100" s="44"/>
      <c r="S100" s="44"/>
      <c r="T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</row>
    <row r="101" spans="1:42" x14ac:dyDescent="0.2">
      <c r="A101" s="47" t="s">
        <v>302</v>
      </c>
      <c r="B101" s="33">
        <v>1</v>
      </c>
      <c r="C101" s="46">
        <v>2</v>
      </c>
      <c r="D101">
        <f t="shared" si="1"/>
        <v>9</v>
      </c>
      <c r="E101" s="33">
        <v>691</v>
      </c>
      <c r="F101" s="44"/>
      <c r="G101" s="44"/>
      <c r="I101" s="44"/>
      <c r="J101" s="48"/>
      <c r="K101" s="44"/>
      <c r="L101" s="44"/>
      <c r="M101" s="44"/>
      <c r="N101" s="44"/>
      <c r="P101" s="44"/>
      <c r="Q101" s="44"/>
      <c r="R101" s="44"/>
      <c r="S101" s="44"/>
      <c r="T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</row>
    <row r="102" spans="1:42" x14ac:dyDescent="0.2">
      <c r="A102" s="47" t="s">
        <v>308</v>
      </c>
      <c r="B102" s="33">
        <v>1</v>
      </c>
      <c r="C102" s="46">
        <v>2</v>
      </c>
      <c r="D102">
        <f t="shared" si="1"/>
        <v>9</v>
      </c>
      <c r="E102" s="33">
        <v>9562</v>
      </c>
      <c r="F102" s="44"/>
      <c r="G102" s="44"/>
      <c r="I102" s="44"/>
      <c r="J102" s="48"/>
      <c r="K102" s="44"/>
      <c r="L102" s="44"/>
      <c r="M102" s="44"/>
      <c r="N102" s="44"/>
      <c r="P102" s="44"/>
      <c r="Q102" s="44"/>
      <c r="R102" s="44"/>
      <c r="S102" s="44"/>
      <c r="T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</row>
    <row r="103" spans="1:42" x14ac:dyDescent="0.2">
      <c r="A103" s="47" t="s">
        <v>312</v>
      </c>
      <c r="B103" s="33">
        <v>1</v>
      </c>
      <c r="C103" s="46">
        <v>2</v>
      </c>
      <c r="D103">
        <f t="shared" si="1"/>
        <v>9</v>
      </c>
      <c r="E103" s="33">
        <v>1816</v>
      </c>
      <c r="F103" s="44"/>
      <c r="G103" s="44"/>
      <c r="I103" s="44"/>
      <c r="J103" s="48"/>
      <c r="K103" s="44"/>
      <c r="L103" s="44"/>
      <c r="M103" s="44"/>
      <c r="N103" s="44"/>
      <c r="P103" s="44"/>
      <c r="Q103" s="44"/>
      <c r="R103" s="44"/>
      <c r="S103" s="44"/>
      <c r="T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</row>
    <row r="104" spans="1:42" x14ac:dyDescent="0.2">
      <c r="A104" s="46" t="s">
        <v>313</v>
      </c>
      <c r="B104" s="33">
        <v>1</v>
      </c>
      <c r="C104" s="46">
        <v>2</v>
      </c>
      <c r="D104">
        <f t="shared" si="1"/>
        <v>9</v>
      </c>
      <c r="E104" s="33">
        <v>327</v>
      </c>
      <c r="F104" s="44"/>
      <c r="G104" s="44"/>
      <c r="I104" s="44"/>
      <c r="J104" s="48"/>
      <c r="K104" s="44"/>
      <c r="L104" s="44"/>
      <c r="M104" s="44"/>
      <c r="N104" s="44"/>
      <c r="P104" s="44"/>
      <c r="Q104" s="44"/>
      <c r="R104" s="44"/>
      <c r="S104" s="44"/>
      <c r="T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</row>
    <row r="105" spans="1:42" x14ac:dyDescent="0.2">
      <c r="A105" s="47" t="s">
        <v>314</v>
      </c>
      <c r="B105" s="33">
        <v>1</v>
      </c>
      <c r="C105" s="46">
        <v>2</v>
      </c>
      <c r="D105">
        <f t="shared" si="1"/>
        <v>9</v>
      </c>
      <c r="E105" s="33">
        <v>344</v>
      </c>
      <c r="F105" s="44"/>
      <c r="G105" s="44"/>
      <c r="I105" s="44"/>
      <c r="J105" s="48"/>
      <c r="K105" s="44"/>
      <c r="L105" s="44"/>
      <c r="M105" s="44"/>
      <c r="N105" s="44"/>
      <c r="P105" s="44"/>
      <c r="Q105" s="44"/>
      <c r="R105" s="44"/>
      <c r="S105" s="44"/>
      <c r="T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</row>
    <row r="106" spans="1:42" x14ac:dyDescent="0.2">
      <c r="A106" s="47" t="s">
        <v>316</v>
      </c>
      <c r="B106" s="33">
        <v>1</v>
      </c>
      <c r="C106" s="46">
        <v>2</v>
      </c>
      <c r="D106">
        <f t="shared" si="1"/>
        <v>9</v>
      </c>
      <c r="E106" s="33">
        <v>15</v>
      </c>
      <c r="F106" s="44"/>
      <c r="G106" s="44"/>
      <c r="I106" s="44"/>
      <c r="J106" s="48"/>
      <c r="K106" s="44"/>
      <c r="L106" s="44"/>
      <c r="M106" s="44"/>
      <c r="N106" s="44"/>
      <c r="P106" s="44"/>
      <c r="Q106" s="44"/>
      <c r="R106" s="44"/>
      <c r="S106" s="44"/>
      <c r="T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</row>
    <row r="107" spans="1:42" x14ac:dyDescent="0.2">
      <c r="A107" s="46" t="s">
        <v>317</v>
      </c>
      <c r="B107" s="33">
        <v>1</v>
      </c>
      <c r="C107" s="46">
        <v>2</v>
      </c>
      <c r="D107">
        <f t="shared" si="1"/>
        <v>9</v>
      </c>
      <c r="E107" s="33">
        <v>12</v>
      </c>
      <c r="F107" s="44"/>
      <c r="G107" s="44"/>
      <c r="I107" s="44"/>
      <c r="J107" s="48"/>
      <c r="K107" s="44"/>
      <c r="L107" s="44"/>
      <c r="M107" s="44"/>
      <c r="N107" s="44"/>
      <c r="P107" s="44"/>
      <c r="Q107" s="44"/>
      <c r="R107" s="44"/>
      <c r="S107" s="44"/>
      <c r="T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</row>
    <row r="108" spans="1:42" x14ac:dyDescent="0.2">
      <c r="A108" s="46" t="s">
        <v>319</v>
      </c>
      <c r="B108" s="33">
        <v>1</v>
      </c>
      <c r="C108" s="46">
        <v>2</v>
      </c>
      <c r="D108">
        <f t="shared" si="1"/>
        <v>9</v>
      </c>
      <c r="E108" s="33">
        <v>3355</v>
      </c>
      <c r="F108" s="44"/>
      <c r="G108" s="44"/>
      <c r="I108" s="44"/>
      <c r="J108" s="48"/>
      <c r="K108" s="44"/>
      <c r="L108" s="44"/>
      <c r="M108" s="44"/>
      <c r="N108" s="44"/>
      <c r="P108" s="44"/>
      <c r="Q108" s="44"/>
      <c r="R108" s="44"/>
      <c r="S108" s="44"/>
      <c r="T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</row>
    <row r="109" spans="1:42" x14ac:dyDescent="0.2">
      <c r="A109" s="46" t="s">
        <v>320</v>
      </c>
      <c r="B109" s="33">
        <v>1</v>
      </c>
      <c r="C109" s="46">
        <v>2</v>
      </c>
      <c r="D109">
        <f t="shared" si="1"/>
        <v>9</v>
      </c>
      <c r="E109" s="33">
        <v>62</v>
      </c>
      <c r="F109" s="44"/>
      <c r="G109" s="44"/>
      <c r="I109" s="44"/>
      <c r="J109" s="48"/>
      <c r="K109" s="44"/>
      <c r="L109" s="44"/>
      <c r="M109" s="44"/>
      <c r="N109" s="44"/>
      <c r="P109" s="44"/>
      <c r="Q109" s="44"/>
      <c r="R109" s="44"/>
      <c r="S109" s="44"/>
      <c r="T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</row>
    <row r="110" spans="1:42" x14ac:dyDescent="0.2">
      <c r="A110" s="46" t="s">
        <v>321</v>
      </c>
      <c r="B110" s="33">
        <v>1</v>
      </c>
      <c r="C110" s="46">
        <v>2</v>
      </c>
      <c r="D110">
        <f t="shared" si="1"/>
        <v>9</v>
      </c>
      <c r="E110" s="33">
        <v>801</v>
      </c>
      <c r="F110" s="44"/>
      <c r="G110" s="44"/>
      <c r="I110" s="44"/>
      <c r="J110" s="48"/>
      <c r="K110" s="44"/>
      <c r="L110" s="44"/>
      <c r="M110" s="44"/>
      <c r="N110" s="44"/>
      <c r="P110" s="44"/>
      <c r="Q110" s="44"/>
      <c r="R110" s="44"/>
      <c r="S110" s="44"/>
      <c r="T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</row>
    <row r="111" spans="1:42" x14ac:dyDescent="0.2">
      <c r="A111" s="46" t="s">
        <v>322</v>
      </c>
      <c r="B111" s="33">
        <v>1</v>
      </c>
      <c r="C111" s="46">
        <v>2</v>
      </c>
      <c r="D111">
        <f t="shared" si="1"/>
        <v>9</v>
      </c>
      <c r="E111" s="33">
        <v>2553</v>
      </c>
      <c r="F111" s="44"/>
      <c r="G111" s="44"/>
      <c r="I111" s="44"/>
      <c r="J111" s="48"/>
      <c r="K111" s="44"/>
      <c r="L111" s="44"/>
      <c r="M111" s="44"/>
      <c r="N111" s="44"/>
      <c r="P111" s="44"/>
      <c r="Q111" s="44"/>
      <c r="R111" s="44"/>
      <c r="S111" s="44"/>
      <c r="T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</row>
    <row r="112" spans="1:42" x14ac:dyDescent="0.2">
      <c r="A112" s="46" t="s">
        <v>324</v>
      </c>
      <c r="B112" s="33">
        <v>1</v>
      </c>
      <c r="C112" s="46">
        <v>2</v>
      </c>
      <c r="D112">
        <f t="shared" si="1"/>
        <v>9</v>
      </c>
      <c r="E112" s="33">
        <v>564</v>
      </c>
      <c r="F112" s="44"/>
      <c r="G112" s="44"/>
      <c r="I112" s="44"/>
      <c r="J112" s="48"/>
      <c r="K112" s="44"/>
      <c r="L112" s="44"/>
      <c r="M112" s="44"/>
      <c r="N112" s="44"/>
      <c r="P112" s="44"/>
      <c r="Q112" s="44"/>
      <c r="R112" s="44"/>
      <c r="S112" s="44"/>
      <c r="T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</row>
    <row r="113" spans="1:42" x14ac:dyDescent="0.2">
      <c r="A113" s="46" t="s">
        <v>326</v>
      </c>
      <c r="B113" s="33">
        <v>1</v>
      </c>
      <c r="C113" s="46">
        <v>2</v>
      </c>
      <c r="D113">
        <f t="shared" si="1"/>
        <v>9</v>
      </c>
      <c r="E113" s="33">
        <v>61</v>
      </c>
      <c r="F113" s="44"/>
      <c r="G113" s="44"/>
      <c r="I113" s="44"/>
      <c r="J113" s="48"/>
      <c r="K113" s="44"/>
      <c r="L113" s="44"/>
      <c r="M113" s="44"/>
      <c r="N113" s="44"/>
      <c r="P113" s="44"/>
      <c r="Q113" s="44"/>
      <c r="R113" s="44"/>
      <c r="S113" s="44"/>
      <c r="T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</row>
    <row r="114" spans="1:42" x14ac:dyDescent="0.2">
      <c r="A114" s="46" t="s">
        <v>328</v>
      </c>
      <c r="B114" s="33">
        <v>1</v>
      </c>
      <c r="C114" s="46">
        <v>2</v>
      </c>
      <c r="D114">
        <f t="shared" si="1"/>
        <v>9</v>
      </c>
      <c r="E114" s="33">
        <v>2574</v>
      </c>
      <c r="F114" s="44"/>
      <c r="G114" s="44"/>
      <c r="I114" s="44"/>
      <c r="J114" s="48"/>
      <c r="K114" s="44"/>
      <c r="L114" s="44"/>
      <c r="M114" s="44"/>
      <c r="N114" s="44"/>
      <c r="P114" s="44"/>
      <c r="Q114" s="44"/>
      <c r="R114" s="44"/>
      <c r="S114" s="44"/>
      <c r="T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</row>
    <row r="115" spans="1:42" x14ac:dyDescent="0.2">
      <c r="A115" s="46" t="s">
        <v>330</v>
      </c>
      <c r="B115" s="33">
        <v>1</v>
      </c>
      <c r="C115" s="46">
        <v>2</v>
      </c>
      <c r="D115">
        <f t="shared" si="1"/>
        <v>9</v>
      </c>
      <c r="E115" s="33">
        <v>2839</v>
      </c>
      <c r="F115" s="44"/>
      <c r="G115" s="44"/>
      <c r="I115" s="44"/>
      <c r="J115" s="48"/>
      <c r="K115" s="44"/>
      <c r="L115" s="44"/>
      <c r="M115" s="44"/>
      <c r="N115" s="44"/>
      <c r="P115" s="44"/>
      <c r="Q115" s="44"/>
      <c r="R115" s="44"/>
      <c r="S115" s="44"/>
      <c r="T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</row>
    <row r="116" spans="1:42" x14ac:dyDescent="0.2">
      <c r="A116" s="46" t="s">
        <v>8</v>
      </c>
      <c r="B116" s="33">
        <v>1</v>
      </c>
      <c r="C116" s="46">
        <v>3</v>
      </c>
      <c r="D116">
        <f t="shared" si="1"/>
        <v>10</v>
      </c>
      <c r="E116" s="33">
        <v>3160</v>
      </c>
      <c r="F116" s="44"/>
      <c r="G116" s="44"/>
      <c r="I116" s="44"/>
      <c r="J116" s="48"/>
      <c r="K116" s="44"/>
      <c r="L116" s="44"/>
      <c r="M116" s="44"/>
      <c r="N116" s="44"/>
      <c r="P116" s="44"/>
      <c r="Q116" s="44"/>
      <c r="R116" s="44"/>
      <c r="S116" s="44"/>
      <c r="T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</row>
    <row r="117" spans="1:42" x14ac:dyDescent="0.2">
      <c r="A117" s="46" t="s">
        <v>26</v>
      </c>
      <c r="B117" s="33">
        <v>1</v>
      </c>
      <c r="C117" s="46">
        <v>3</v>
      </c>
      <c r="D117">
        <f t="shared" si="1"/>
        <v>10</v>
      </c>
      <c r="E117" s="33">
        <v>3420</v>
      </c>
      <c r="F117" s="44"/>
      <c r="G117" s="44"/>
      <c r="I117" s="44"/>
      <c r="J117" s="48"/>
      <c r="K117" s="44"/>
      <c r="L117" s="44"/>
      <c r="M117" s="44"/>
      <c r="N117" s="44"/>
      <c r="P117" s="44"/>
      <c r="Q117" s="44"/>
      <c r="R117" s="44"/>
      <c r="S117" s="44"/>
      <c r="T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</row>
    <row r="118" spans="1:42" x14ac:dyDescent="0.2">
      <c r="A118" s="46" t="s">
        <v>32</v>
      </c>
      <c r="B118" s="33">
        <v>1</v>
      </c>
      <c r="C118" s="46">
        <v>3</v>
      </c>
      <c r="D118">
        <f t="shared" si="1"/>
        <v>10</v>
      </c>
      <c r="E118" s="33">
        <v>944</v>
      </c>
      <c r="F118" s="44"/>
      <c r="G118" s="44"/>
      <c r="I118" s="44"/>
      <c r="J118" s="48"/>
      <c r="K118" s="44"/>
      <c r="L118" s="44"/>
      <c r="M118" s="44"/>
      <c r="N118" s="44"/>
      <c r="P118" s="44"/>
      <c r="Q118" s="44"/>
      <c r="R118" s="44"/>
      <c r="S118" s="44"/>
      <c r="T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</row>
    <row r="119" spans="1:42" x14ac:dyDescent="0.2">
      <c r="A119" s="46" t="s">
        <v>9</v>
      </c>
      <c r="B119" s="33">
        <v>1</v>
      </c>
      <c r="C119" s="46">
        <v>3</v>
      </c>
      <c r="D119">
        <f t="shared" si="1"/>
        <v>10</v>
      </c>
      <c r="E119" s="33">
        <v>1963</v>
      </c>
      <c r="F119" s="44"/>
      <c r="G119" s="44"/>
      <c r="I119" s="44"/>
      <c r="J119" s="48"/>
      <c r="K119" s="44"/>
      <c r="L119" s="44"/>
      <c r="M119" s="44"/>
      <c r="N119" s="44"/>
      <c r="P119" s="44"/>
      <c r="Q119" s="44"/>
      <c r="R119" s="44"/>
      <c r="S119" s="44"/>
      <c r="T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</row>
    <row r="120" spans="1:42" x14ac:dyDescent="0.2">
      <c r="A120" s="46" t="s">
        <v>15</v>
      </c>
      <c r="B120" s="33">
        <v>1</v>
      </c>
      <c r="C120" s="46">
        <v>3</v>
      </c>
      <c r="D120">
        <f t="shared" si="1"/>
        <v>10</v>
      </c>
      <c r="E120" s="33">
        <v>278</v>
      </c>
      <c r="F120" s="44"/>
      <c r="G120" s="44"/>
      <c r="I120" s="44"/>
      <c r="J120" s="48"/>
      <c r="K120" s="44"/>
      <c r="L120" s="44"/>
      <c r="M120" s="44"/>
      <c r="N120" s="44"/>
      <c r="P120" s="44"/>
      <c r="Q120" s="44"/>
      <c r="R120" s="44"/>
      <c r="S120" s="44"/>
      <c r="T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</row>
    <row r="121" spans="1:42" x14ac:dyDescent="0.2">
      <c r="A121" s="46" t="s">
        <v>10</v>
      </c>
      <c r="B121" s="33">
        <v>1</v>
      </c>
      <c r="C121" s="46">
        <v>3</v>
      </c>
      <c r="D121">
        <f t="shared" si="1"/>
        <v>10</v>
      </c>
      <c r="E121" s="33">
        <v>178</v>
      </c>
      <c r="AP121" s="44"/>
    </row>
    <row r="122" spans="1:42" x14ac:dyDescent="0.2">
      <c r="A122" s="46" t="s">
        <v>4</v>
      </c>
      <c r="B122" s="33">
        <v>1</v>
      </c>
      <c r="C122" s="46">
        <v>3</v>
      </c>
      <c r="D122">
        <f t="shared" si="1"/>
        <v>10</v>
      </c>
      <c r="E122" s="33">
        <v>1491</v>
      </c>
    </row>
    <row r="123" spans="1:42" x14ac:dyDescent="0.2">
      <c r="A123" s="46" t="s">
        <v>22</v>
      </c>
      <c r="B123" s="33">
        <v>1</v>
      </c>
      <c r="C123" s="46">
        <v>3</v>
      </c>
      <c r="D123">
        <f t="shared" si="1"/>
        <v>10</v>
      </c>
      <c r="E123" s="33">
        <v>353</v>
      </c>
    </row>
    <row r="124" spans="1:42" x14ac:dyDescent="0.2">
      <c r="A124" s="46" t="s">
        <v>28</v>
      </c>
      <c r="B124" s="33">
        <v>1</v>
      </c>
      <c r="C124" s="46">
        <v>3</v>
      </c>
      <c r="D124">
        <f t="shared" si="1"/>
        <v>10</v>
      </c>
      <c r="E124" s="33">
        <v>265</v>
      </c>
    </row>
    <row r="125" spans="1:42" x14ac:dyDescent="0.2">
      <c r="A125" s="46" t="s">
        <v>34</v>
      </c>
      <c r="B125" s="33">
        <v>1</v>
      </c>
      <c r="C125" s="46">
        <v>3</v>
      </c>
      <c r="D125">
        <f t="shared" si="1"/>
        <v>10</v>
      </c>
      <c r="E125" s="33">
        <v>526</v>
      </c>
    </row>
    <row r="126" spans="1:42" x14ac:dyDescent="0.2">
      <c r="A126" s="46" t="s">
        <v>23</v>
      </c>
      <c r="B126" s="33">
        <v>1</v>
      </c>
      <c r="C126" s="46">
        <v>3</v>
      </c>
      <c r="D126">
        <f t="shared" si="1"/>
        <v>10</v>
      </c>
      <c r="E126" s="33">
        <v>845</v>
      </c>
    </row>
    <row r="127" spans="1:42" x14ac:dyDescent="0.2">
      <c r="A127" s="46" t="s">
        <v>35</v>
      </c>
      <c r="B127" s="33">
        <v>1</v>
      </c>
      <c r="C127" s="46">
        <v>3</v>
      </c>
      <c r="D127">
        <f t="shared" si="1"/>
        <v>10</v>
      </c>
      <c r="E127" s="33">
        <v>512</v>
      </c>
    </row>
    <row r="128" spans="1:42" x14ac:dyDescent="0.2">
      <c r="A128" s="46" t="s">
        <v>6</v>
      </c>
      <c r="B128" s="33">
        <v>1</v>
      </c>
      <c r="C128" s="46">
        <v>3</v>
      </c>
      <c r="D128">
        <f t="shared" si="1"/>
        <v>10</v>
      </c>
      <c r="E128" s="33">
        <v>29</v>
      </c>
    </row>
    <row r="129" spans="1:5" x14ac:dyDescent="0.2">
      <c r="A129" s="46" t="s">
        <v>24</v>
      </c>
      <c r="B129" s="33">
        <v>1</v>
      </c>
      <c r="C129" s="46">
        <v>3</v>
      </c>
      <c r="D129">
        <f t="shared" si="1"/>
        <v>10</v>
      </c>
      <c r="E129" s="33">
        <v>178</v>
      </c>
    </row>
    <row r="130" spans="1:5" x14ac:dyDescent="0.2">
      <c r="A130" s="46" t="s">
        <v>36</v>
      </c>
      <c r="B130" s="33">
        <v>1</v>
      </c>
      <c r="C130" s="46">
        <v>3</v>
      </c>
      <c r="D130">
        <f t="shared" si="1"/>
        <v>10</v>
      </c>
      <c r="E130" s="33">
        <v>678</v>
      </c>
    </row>
    <row r="131" spans="1:5" x14ac:dyDescent="0.2">
      <c r="A131" s="46" t="s">
        <v>7</v>
      </c>
      <c r="B131" s="33">
        <v>1</v>
      </c>
      <c r="C131" s="46">
        <v>3</v>
      </c>
      <c r="D131">
        <f t="shared" ref="D131:D194" si="2">C131+7</f>
        <v>10</v>
      </c>
      <c r="E131" s="33">
        <v>115</v>
      </c>
    </row>
    <row r="132" spans="1:5" x14ac:dyDescent="0.2">
      <c r="A132" s="46" t="s">
        <v>13</v>
      </c>
      <c r="B132" s="33">
        <v>1</v>
      </c>
      <c r="C132" s="46">
        <v>3</v>
      </c>
      <c r="D132">
        <f t="shared" si="2"/>
        <v>10</v>
      </c>
      <c r="E132" s="33">
        <v>281</v>
      </c>
    </row>
    <row r="133" spans="1:5" x14ac:dyDescent="0.2">
      <c r="A133" s="46" t="s">
        <v>19</v>
      </c>
      <c r="B133" s="33">
        <v>1</v>
      </c>
      <c r="C133" s="46">
        <v>3</v>
      </c>
      <c r="D133">
        <f t="shared" si="2"/>
        <v>10</v>
      </c>
      <c r="E133" s="33">
        <v>759</v>
      </c>
    </row>
    <row r="134" spans="1:5" x14ac:dyDescent="0.2">
      <c r="A134" s="46" t="s">
        <v>25</v>
      </c>
      <c r="B134" s="33">
        <v>1</v>
      </c>
      <c r="C134" s="46">
        <v>3</v>
      </c>
      <c r="D134">
        <f t="shared" si="2"/>
        <v>10</v>
      </c>
      <c r="E134" s="33">
        <v>667</v>
      </c>
    </row>
    <row r="135" spans="1:5" x14ac:dyDescent="0.2">
      <c r="A135" s="46" t="s">
        <v>31</v>
      </c>
      <c r="B135" s="33">
        <v>1</v>
      </c>
      <c r="C135" s="46">
        <v>3</v>
      </c>
      <c r="D135">
        <f t="shared" si="2"/>
        <v>10</v>
      </c>
      <c r="E135" s="33">
        <v>477</v>
      </c>
    </row>
    <row r="136" spans="1:5" x14ac:dyDescent="0.2">
      <c r="A136" s="46" t="s">
        <v>37</v>
      </c>
      <c r="B136" s="33">
        <v>1</v>
      </c>
      <c r="C136" s="46">
        <v>3</v>
      </c>
      <c r="D136">
        <f t="shared" si="2"/>
        <v>10</v>
      </c>
      <c r="E136" s="33">
        <v>421</v>
      </c>
    </row>
    <row r="137" spans="1:5" x14ac:dyDescent="0.2">
      <c r="A137" s="46" t="s">
        <v>38</v>
      </c>
      <c r="B137" s="33">
        <v>1</v>
      </c>
      <c r="C137" s="46">
        <v>3</v>
      </c>
      <c r="D137">
        <f t="shared" si="2"/>
        <v>10</v>
      </c>
      <c r="E137" s="33">
        <v>629</v>
      </c>
    </row>
    <row r="138" spans="1:5" x14ac:dyDescent="0.2">
      <c r="A138" s="46" t="s">
        <v>39</v>
      </c>
      <c r="B138" s="33">
        <v>1</v>
      </c>
      <c r="C138" s="46">
        <v>3</v>
      </c>
      <c r="D138">
        <f t="shared" si="2"/>
        <v>10</v>
      </c>
      <c r="E138" s="33">
        <v>757</v>
      </c>
    </row>
    <row r="139" spans="1:5" x14ac:dyDescent="0.2">
      <c r="A139" s="46" t="s">
        <v>41</v>
      </c>
      <c r="B139" s="33">
        <v>1</v>
      </c>
      <c r="C139" s="46">
        <v>3</v>
      </c>
      <c r="D139">
        <f t="shared" si="2"/>
        <v>10</v>
      </c>
      <c r="E139" s="33">
        <v>452</v>
      </c>
    </row>
    <row r="140" spans="1:5" x14ac:dyDescent="0.2">
      <c r="A140" s="46" t="s">
        <v>42</v>
      </c>
      <c r="B140" s="33">
        <v>1</v>
      </c>
      <c r="C140" s="46">
        <v>3</v>
      </c>
      <c r="D140">
        <f t="shared" si="2"/>
        <v>10</v>
      </c>
      <c r="E140" s="33">
        <v>871</v>
      </c>
    </row>
    <row r="141" spans="1:5" x14ac:dyDescent="0.2">
      <c r="A141" s="46" t="s">
        <v>333</v>
      </c>
      <c r="B141" s="33">
        <v>1</v>
      </c>
      <c r="C141" s="46">
        <v>3</v>
      </c>
      <c r="D141">
        <f t="shared" si="2"/>
        <v>10</v>
      </c>
      <c r="E141" s="33">
        <v>8079</v>
      </c>
    </row>
    <row r="142" spans="1:5" x14ac:dyDescent="0.2">
      <c r="A142" s="46" t="s">
        <v>334</v>
      </c>
      <c r="B142" s="33">
        <v>1</v>
      </c>
      <c r="C142" s="46">
        <v>3</v>
      </c>
      <c r="D142">
        <f t="shared" si="2"/>
        <v>10</v>
      </c>
      <c r="E142" s="33">
        <v>1792</v>
      </c>
    </row>
    <row r="143" spans="1:5" x14ac:dyDescent="0.2">
      <c r="A143" s="46" t="s">
        <v>335</v>
      </c>
      <c r="B143" s="33">
        <v>1</v>
      </c>
      <c r="C143" s="46">
        <v>3</v>
      </c>
      <c r="D143">
        <f t="shared" si="2"/>
        <v>10</v>
      </c>
      <c r="E143" s="33">
        <v>1773</v>
      </c>
    </row>
    <row r="144" spans="1:5" x14ac:dyDescent="0.2">
      <c r="A144" s="46" t="s">
        <v>337</v>
      </c>
      <c r="B144" s="33">
        <v>1</v>
      </c>
      <c r="C144" s="46">
        <v>3</v>
      </c>
      <c r="D144">
        <f t="shared" si="2"/>
        <v>10</v>
      </c>
      <c r="E144" s="33">
        <v>1902</v>
      </c>
    </row>
    <row r="145" spans="1:5" x14ac:dyDescent="0.2">
      <c r="A145" s="46" t="s">
        <v>338</v>
      </c>
      <c r="B145" s="33">
        <v>1</v>
      </c>
      <c r="C145" s="46">
        <v>3</v>
      </c>
      <c r="D145">
        <f t="shared" si="2"/>
        <v>10</v>
      </c>
      <c r="E145" s="33">
        <v>4273</v>
      </c>
    </row>
    <row r="146" spans="1:5" x14ac:dyDescent="0.2">
      <c r="A146" s="46" t="s">
        <v>339</v>
      </c>
      <c r="B146" s="33">
        <v>1</v>
      </c>
      <c r="C146" s="46">
        <v>3</v>
      </c>
      <c r="D146">
        <f t="shared" si="2"/>
        <v>10</v>
      </c>
      <c r="E146" s="33">
        <v>1044</v>
      </c>
    </row>
    <row r="147" spans="1:5" x14ac:dyDescent="0.2">
      <c r="A147" s="46" t="s">
        <v>340</v>
      </c>
      <c r="B147" s="33">
        <v>1</v>
      </c>
      <c r="C147" s="46">
        <v>3</v>
      </c>
      <c r="D147">
        <f t="shared" si="2"/>
        <v>10</v>
      </c>
      <c r="E147" s="33">
        <v>9874</v>
      </c>
    </row>
    <row r="148" spans="1:5" x14ac:dyDescent="0.2">
      <c r="A148" s="46" t="s">
        <v>342</v>
      </c>
      <c r="B148" s="33">
        <v>1</v>
      </c>
      <c r="C148" s="46">
        <v>3</v>
      </c>
      <c r="D148">
        <f t="shared" si="2"/>
        <v>10</v>
      </c>
      <c r="E148" s="33">
        <v>3022</v>
      </c>
    </row>
    <row r="149" spans="1:5" x14ac:dyDescent="0.2">
      <c r="A149" s="46" t="s">
        <v>344</v>
      </c>
      <c r="B149" s="33">
        <v>1</v>
      </c>
      <c r="C149" s="46">
        <v>3</v>
      </c>
      <c r="D149">
        <f t="shared" si="2"/>
        <v>10</v>
      </c>
      <c r="E149" s="33">
        <v>7634</v>
      </c>
    </row>
    <row r="150" spans="1:5" x14ac:dyDescent="0.2">
      <c r="A150" s="46" t="s">
        <v>345</v>
      </c>
      <c r="B150" s="33">
        <v>1</v>
      </c>
      <c r="C150" s="46">
        <v>3</v>
      </c>
      <c r="D150">
        <f t="shared" si="2"/>
        <v>10</v>
      </c>
      <c r="E150" s="33">
        <v>85</v>
      </c>
    </row>
    <row r="151" spans="1:5" x14ac:dyDescent="0.2">
      <c r="A151" s="46" t="s">
        <v>351</v>
      </c>
      <c r="B151" s="33">
        <v>1</v>
      </c>
      <c r="C151" s="46">
        <v>3</v>
      </c>
      <c r="D151">
        <f t="shared" si="2"/>
        <v>10</v>
      </c>
      <c r="E151" s="33">
        <v>19323</v>
      </c>
    </row>
    <row r="152" spans="1:5" x14ac:dyDescent="0.2">
      <c r="A152" s="46" t="s">
        <v>353</v>
      </c>
      <c r="B152" s="33">
        <v>1</v>
      </c>
      <c r="C152" s="46">
        <v>3</v>
      </c>
      <c r="D152">
        <f t="shared" si="2"/>
        <v>10</v>
      </c>
      <c r="E152" s="33">
        <v>194</v>
      </c>
    </row>
    <row r="153" spans="1:5" x14ac:dyDescent="0.2">
      <c r="A153" s="46" t="s">
        <v>354</v>
      </c>
      <c r="B153" s="33">
        <v>1</v>
      </c>
      <c r="C153" s="46">
        <v>3</v>
      </c>
      <c r="D153">
        <f t="shared" si="2"/>
        <v>10</v>
      </c>
      <c r="E153" s="33">
        <v>371</v>
      </c>
    </row>
    <row r="154" spans="1:5" x14ac:dyDescent="0.2">
      <c r="A154" s="46" t="s">
        <v>355</v>
      </c>
      <c r="B154" s="33">
        <v>1</v>
      </c>
      <c r="C154" s="46">
        <v>3</v>
      </c>
      <c r="D154">
        <f t="shared" si="2"/>
        <v>10</v>
      </c>
      <c r="E154" s="33">
        <v>52988</v>
      </c>
    </row>
    <row r="155" spans="1:5" x14ac:dyDescent="0.2">
      <c r="A155" s="46" t="s">
        <v>356</v>
      </c>
      <c r="B155" s="33">
        <v>1</v>
      </c>
      <c r="C155" s="46">
        <v>3</v>
      </c>
      <c r="D155">
        <f t="shared" si="2"/>
        <v>10</v>
      </c>
      <c r="E155" s="33">
        <v>22969</v>
      </c>
    </row>
    <row r="156" spans="1:5" x14ac:dyDescent="0.2">
      <c r="A156" s="46" t="s">
        <v>357</v>
      </c>
      <c r="B156" s="33">
        <v>1</v>
      </c>
      <c r="C156" s="46">
        <v>3</v>
      </c>
      <c r="D156">
        <f t="shared" si="2"/>
        <v>10</v>
      </c>
      <c r="E156" s="33">
        <v>14969</v>
      </c>
    </row>
    <row r="157" spans="1:5" x14ac:dyDescent="0.2">
      <c r="A157" s="46" t="s">
        <v>359</v>
      </c>
      <c r="B157" s="33">
        <v>1</v>
      </c>
      <c r="C157" s="46">
        <v>3</v>
      </c>
      <c r="D157">
        <f t="shared" si="2"/>
        <v>10</v>
      </c>
      <c r="E157" s="33">
        <v>208</v>
      </c>
    </row>
    <row r="158" spans="1:5" x14ac:dyDescent="0.2">
      <c r="A158" s="46" t="s">
        <v>361</v>
      </c>
      <c r="B158" s="33">
        <v>1</v>
      </c>
      <c r="C158" s="46">
        <v>3</v>
      </c>
      <c r="D158">
        <f t="shared" si="2"/>
        <v>10</v>
      </c>
      <c r="E158" s="33">
        <v>14890</v>
      </c>
    </row>
    <row r="159" spans="1:5" x14ac:dyDescent="0.2">
      <c r="A159" s="46" t="s">
        <v>362</v>
      </c>
      <c r="B159" s="33">
        <v>1</v>
      </c>
      <c r="C159" s="46">
        <v>3</v>
      </c>
      <c r="D159">
        <f t="shared" si="2"/>
        <v>10</v>
      </c>
      <c r="E159" s="33">
        <v>9418</v>
      </c>
    </row>
    <row r="160" spans="1:5" x14ac:dyDescent="0.2">
      <c r="A160" s="46" t="s">
        <v>363</v>
      </c>
      <c r="B160" s="33">
        <v>1</v>
      </c>
      <c r="C160" s="46">
        <v>3</v>
      </c>
      <c r="D160">
        <f t="shared" si="2"/>
        <v>10</v>
      </c>
      <c r="E160" s="33">
        <v>2478</v>
      </c>
    </row>
    <row r="161" spans="1:5" x14ac:dyDescent="0.2">
      <c r="A161" s="46" t="s">
        <v>365</v>
      </c>
      <c r="B161" s="33">
        <v>1</v>
      </c>
      <c r="C161" s="46">
        <v>3</v>
      </c>
      <c r="D161">
        <f t="shared" si="2"/>
        <v>10</v>
      </c>
      <c r="E161" s="33">
        <v>9490</v>
      </c>
    </row>
    <row r="162" spans="1:5" x14ac:dyDescent="0.2">
      <c r="A162" s="46" t="s">
        <v>366</v>
      </c>
      <c r="B162" s="33">
        <v>1</v>
      </c>
      <c r="C162" s="46">
        <v>3</v>
      </c>
      <c r="D162">
        <f t="shared" si="2"/>
        <v>10</v>
      </c>
      <c r="E162" s="33">
        <v>9407</v>
      </c>
    </row>
    <row r="163" spans="1:5" x14ac:dyDescent="0.2">
      <c r="A163" s="46" t="s">
        <v>367</v>
      </c>
      <c r="B163" s="33">
        <v>1</v>
      </c>
      <c r="C163" s="46">
        <v>3</v>
      </c>
      <c r="D163">
        <f t="shared" si="2"/>
        <v>10</v>
      </c>
      <c r="E163" s="33">
        <v>5658</v>
      </c>
    </row>
    <row r="164" spans="1:5" x14ac:dyDescent="0.2">
      <c r="A164" s="46" t="s">
        <v>368</v>
      </c>
      <c r="B164" s="33">
        <v>1</v>
      </c>
      <c r="C164" s="46">
        <v>3</v>
      </c>
      <c r="D164">
        <f t="shared" si="2"/>
        <v>10</v>
      </c>
      <c r="E164" s="33">
        <v>15348</v>
      </c>
    </row>
    <row r="165" spans="1:5" x14ac:dyDescent="0.2">
      <c r="A165" s="47" t="s">
        <v>369</v>
      </c>
      <c r="B165" s="33">
        <v>1</v>
      </c>
      <c r="C165" s="46">
        <v>3</v>
      </c>
      <c r="D165">
        <f t="shared" si="2"/>
        <v>10</v>
      </c>
      <c r="E165" s="33">
        <v>29349</v>
      </c>
    </row>
    <row r="166" spans="1:5" x14ac:dyDescent="0.2">
      <c r="A166" s="47" t="s">
        <v>371</v>
      </c>
      <c r="B166" s="33">
        <v>1</v>
      </c>
      <c r="C166" s="46">
        <v>3</v>
      </c>
      <c r="D166">
        <f t="shared" si="2"/>
        <v>10</v>
      </c>
      <c r="E166" s="33">
        <v>6074</v>
      </c>
    </row>
    <row r="167" spans="1:5" x14ac:dyDescent="0.2">
      <c r="A167" s="47" t="s">
        <v>372</v>
      </c>
      <c r="B167" s="33">
        <v>1</v>
      </c>
      <c r="C167" s="46">
        <v>3</v>
      </c>
      <c r="D167">
        <f t="shared" si="2"/>
        <v>10</v>
      </c>
      <c r="E167" s="33">
        <v>8945</v>
      </c>
    </row>
    <row r="168" spans="1:5" x14ac:dyDescent="0.2">
      <c r="A168" s="47" t="s">
        <v>373</v>
      </c>
      <c r="B168" s="33">
        <v>1</v>
      </c>
      <c r="C168" s="46">
        <v>3</v>
      </c>
      <c r="D168">
        <f t="shared" si="2"/>
        <v>10</v>
      </c>
      <c r="E168" s="33">
        <v>17760</v>
      </c>
    </row>
    <row r="169" spans="1:5" x14ac:dyDescent="0.2">
      <c r="A169" s="47" t="s">
        <v>374</v>
      </c>
      <c r="B169" s="33">
        <v>1</v>
      </c>
      <c r="C169" s="46">
        <v>3</v>
      </c>
      <c r="D169">
        <f t="shared" si="2"/>
        <v>10</v>
      </c>
      <c r="E169" s="33">
        <v>28636</v>
      </c>
    </row>
    <row r="170" spans="1:5" x14ac:dyDescent="0.2">
      <c r="A170" s="47" t="s">
        <v>375</v>
      </c>
      <c r="B170" s="33">
        <v>1</v>
      </c>
      <c r="C170" s="46">
        <v>3</v>
      </c>
      <c r="D170">
        <f t="shared" si="2"/>
        <v>10</v>
      </c>
      <c r="E170" s="33">
        <v>15592</v>
      </c>
    </row>
    <row r="171" spans="1:5" x14ac:dyDescent="0.2">
      <c r="A171" s="47" t="s">
        <v>377</v>
      </c>
      <c r="B171" s="33">
        <v>1</v>
      </c>
      <c r="C171" s="46">
        <v>3</v>
      </c>
      <c r="D171">
        <f t="shared" si="2"/>
        <v>10</v>
      </c>
      <c r="E171" s="33">
        <v>3957</v>
      </c>
    </row>
    <row r="172" spans="1:5" x14ac:dyDescent="0.2">
      <c r="A172" s="47" t="s">
        <v>43</v>
      </c>
      <c r="B172" s="33">
        <v>1</v>
      </c>
      <c r="C172" s="46">
        <v>4</v>
      </c>
      <c r="D172">
        <f t="shared" si="2"/>
        <v>11</v>
      </c>
      <c r="E172" s="33">
        <v>1155</v>
      </c>
    </row>
    <row r="173" spans="1:5" x14ac:dyDescent="0.2">
      <c r="A173" s="47" t="s">
        <v>44</v>
      </c>
      <c r="B173" s="33">
        <v>1</v>
      </c>
      <c r="C173" s="46">
        <v>4</v>
      </c>
      <c r="D173">
        <f t="shared" si="2"/>
        <v>11</v>
      </c>
      <c r="E173" s="33">
        <v>2029</v>
      </c>
    </row>
    <row r="174" spans="1:5" x14ac:dyDescent="0.2">
      <c r="A174" s="47" t="s">
        <v>45</v>
      </c>
      <c r="B174" s="33">
        <v>1</v>
      </c>
      <c r="C174" s="46">
        <v>4</v>
      </c>
      <c r="D174">
        <f t="shared" si="2"/>
        <v>11</v>
      </c>
      <c r="E174" s="33">
        <v>2299</v>
      </c>
    </row>
    <row r="175" spans="1:5" x14ac:dyDescent="0.2">
      <c r="A175" s="47" t="s">
        <v>46</v>
      </c>
      <c r="B175" s="33">
        <v>1</v>
      </c>
      <c r="C175" s="46">
        <v>4</v>
      </c>
      <c r="D175">
        <f t="shared" si="2"/>
        <v>11</v>
      </c>
      <c r="E175" s="33">
        <v>4633</v>
      </c>
    </row>
    <row r="176" spans="1:5" x14ac:dyDescent="0.2">
      <c r="A176" s="47" t="s">
        <v>48</v>
      </c>
      <c r="B176" s="33">
        <v>1</v>
      </c>
      <c r="C176" s="46">
        <v>4</v>
      </c>
      <c r="D176">
        <f t="shared" si="2"/>
        <v>11</v>
      </c>
      <c r="E176" s="33">
        <v>2064</v>
      </c>
    </row>
    <row r="177" spans="1:5" x14ac:dyDescent="0.2">
      <c r="A177" s="47" t="s">
        <v>49</v>
      </c>
      <c r="B177" s="33">
        <v>1</v>
      </c>
      <c r="C177" s="46">
        <v>4</v>
      </c>
      <c r="D177">
        <f t="shared" si="2"/>
        <v>11</v>
      </c>
      <c r="E177" s="33">
        <v>1476</v>
      </c>
    </row>
    <row r="178" spans="1:5" x14ac:dyDescent="0.2">
      <c r="A178" s="47" t="s">
        <v>50</v>
      </c>
      <c r="B178" s="33">
        <v>1</v>
      </c>
      <c r="C178" s="46">
        <v>4</v>
      </c>
      <c r="D178">
        <f t="shared" si="2"/>
        <v>11</v>
      </c>
      <c r="E178" s="33">
        <v>1963</v>
      </c>
    </row>
    <row r="179" spans="1:5" x14ac:dyDescent="0.2">
      <c r="A179" s="47" t="s">
        <v>51</v>
      </c>
      <c r="B179" s="33">
        <v>1</v>
      </c>
      <c r="C179" s="46">
        <v>4</v>
      </c>
      <c r="D179">
        <f t="shared" si="2"/>
        <v>11</v>
      </c>
      <c r="E179" s="33">
        <v>2245</v>
      </c>
    </row>
    <row r="180" spans="1:5" x14ac:dyDescent="0.2">
      <c r="A180" s="47" t="s">
        <v>52</v>
      </c>
      <c r="B180" s="33">
        <v>1</v>
      </c>
      <c r="C180" s="46">
        <v>4</v>
      </c>
      <c r="D180">
        <f t="shared" si="2"/>
        <v>11</v>
      </c>
      <c r="E180" s="33">
        <v>2401</v>
      </c>
    </row>
    <row r="181" spans="1:5" x14ac:dyDescent="0.2">
      <c r="A181" s="47" t="s">
        <v>53</v>
      </c>
      <c r="B181" s="33">
        <v>1</v>
      </c>
      <c r="C181" s="46">
        <v>4</v>
      </c>
      <c r="D181">
        <f t="shared" si="2"/>
        <v>11</v>
      </c>
      <c r="E181" s="33">
        <v>1251</v>
      </c>
    </row>
    <row r="182" spans="1:5" x14ac:dyDescent="0.2">
      <c r="A182" s="47" t="s">
        <v>54</v>
      </c>
      <c r="B182" s="33">
        <v>1</v>
      </c>
      <c r="C182" s="46">
        <v>4</v>
      </c>
      <c r="D182">
        <f t="shared" si="2"/>
        <v>11</v>
      </c>
      <c r="E182" s="33">
        <v>2276</v>
      </c>
    </row>
    <row r="183" spans="1:5" x14ac:dyDescent="0.2">
      <c r="A183" s="47" t="s">
        <v>55</v>
      </c>
      <c r="B183" s="33">
        <v>1</v>
      </c>
      <c r="C183" s="46">
        <v>4</v>
      </c>
      <c r="D183">
        <f t="shared" si="2"/>
        <v>11</v>
      </c>
      <c r="E183" s="33">
        <v>1333</v>
      </c>
    </row>
    <row r="184" spans="1:5" x14ac:dyDescent="0.2">
      <c r="A184" s="47" t="s">
        <v>56</v>
      </c>
      <c r="B184" s="33">
        <v>1</v>
      </c>
      <c r="C184" s="46">
        <v>4</v>
      </c>
      <c r="D184">
        <f t="shared" si="2"/>
        <v>11</v>
      </c>
      <c r="E184" s="33">
        <v>1361</v>
      </c>
    </row>
    <row r="185" spans="1:5" x14ac:dyDescent="0.2">
      <c r="A185" s="47" t="s">
        <v>57</v>
      </c>
      <c r="B185" s="33">
        <v>1</v>
      </c>
      <c r="C185" s="46">
        <v>4</v>
      </c>
      <c r="D185">
        <f t="shared" si="2"/>
        <v>11</v>
      </c>
      <c r="E185" s="33">
        <v>1570</v>
      </c>
    </row>
    <row r="186" spans="1:5" x14ac:dyDescent="0.2">
      <c r="A186" s="47" t="s">
        <v>58</v>
      </c>
      <c r="B186" s="33">
        <v>1</v>
      </c>
      <c r="C186" s="46">
        <v>4</v>
      </c>
      <c r="D186">
        <f t="shared" si="2"/>
        <v>11</v>
      </c>
      <c r="E186" s="33">
        <v>1729</v>
      </c>
    </row>
    <row r="187" spans="1:5" x14ac:dyDescent="0.2">
      <c r="A187" s="47" t="s">
        <v>63</v>
      </c>
      <c r="B187" s="33">
        <v>1</v>
      </c>
      <c r="C187" s="46">
        <v>4</v>
      </c>
      <c r="D187">
        <f t="shared" si="2"/>
        <v>11</v>
      </c>
      <c r="E187" s="33">
        <v>1789</v>
      </c>
    </row>
    <row r="188" spans="1:5" x14ac:dyDescent="0.2">
      <c r="A188" s="47" t="s">
        <v>66</v>
      </c>
      <c r="B188" s="33">
        <v>1</v>
      </c>
      <c r="C188" s="46">
        <v>4</v>
      </c>
      <c r="D188">
        <f t="shared" si="2"/>
        <v>11</v>
      </c>
      <c r="E188" s="33">
        <v>2321</v>
      </c>
    </row>
    <row r="189" spans="1:5" x14ac:dyDescent="0.2">
      <c r="A189" s="46" t="s">
        <v>67</v>
      </c>
      <c r="B189" s="33">
        <v>1</v>
      </c>
      <c r="C189" s="46">
        <v>4</v>
      </c>
      <c r="D189">
        <f t="shared" si="2"/>
        <v>11</v>
      </c>
      <c r="E189" s="33">
        <v>5236</v>
      </c>
    </row>
    <row r="190" spans="1:5" x14ac:dyDescent="0.2">
      <c r="A190" s="46" t="s">
        <v>68</v>
      </c>
      <c r="B190" s="33">
        <v>1</v>
      </c>
      <c r="C190" s="46">
        <v>4</v>
      </c>
      <c r="D190">
        <f t="shared" si="2"/>
        <v>11</v>
      </c>
      <c r="E190" s="33">
        <v>225</v>
      </c>
    </row>
    <row r="191" spans="1:5" x14ac:dyDescent="0.2">
      <c r="A191" s="46" t="s">
        <v>72</v>
      </c>
      <c r="B191" s="33">
        <v>1</v>
      </c>
      <c r="C191" s="46">
        <v>4</v>
      </c>
      <c r="D191">
        <f t="shared" si="2"/>
        <v>11</v>
      </c>
      <c r="E191" s="33">
        <v>1010</v>
      </c>
    </row>
    <row r="192" spans="1:5" x14ac:dyDescent="0.2">
      <c r="A192" s="46" t="s">
        <v>75</v>
      </c>
      <c r="B192" s="33">
        <v>1</v>
      </c>
      <c r="C192" s="46">
        <v>4</v>
      </c>
      <c r="D192">
        <f t="shared" si="2"/>
        <v>11</v>
      </c>
      <c r="E192" s="33">
        <v>321</v>
      </c>
    </row>
    <row r="193" spans="1:5" x14ac:dyDescent="0.2">
      <c r="A193" s="46" t="s">
        <v>76</v>
      </c>
      <c r="B193" s="33">
        <v>1</v>
      </c>
      <c r="C193" s="46">
        <v>4</v>
      </c>
      <c r="D193">
        <f t="shared" si="2"/>
        <v>11</v>
      </c>
      <c r="E193" s="33">
        <v>337</v>
      </c>
    </row>
    <row r="194" spans="1:5" x14ac:dyDescent="0.2">
      <c r="A194" s="46" t="s">
        <v>78</v>
      </c>
      <c r="B194" s="33">
        <v>1</v>
      </c>
      <c r="C194" s="46">
        <v>4</v>
      </c>
      <c r="D194">
        <f t="shared" si="2"/>
        <v>11</v>
      </c>
      <c r="E194" s="33">
        <v>349</v>
      </c>
    </row>
    <row r="195" spans="1:5" x14ac:dyDescent="0.2">
      <c r="A195" s="46" t="s">
        <v>89</v>
      </c>
      <c r="B195" s="33">
        <v>1</v>
      </c>
      <c r="C195" s="46">
        <v>4</v>
      </c>
      <c r="D195">
        <f t="shared" ref="D195:D258" si="3">C195+7</f>
        <v>11</v>
      </c>
      <c r="E195" s="33">
        <v>758</v>
      </c>
    </row>
    <row r="196" spans="1:5" x14ac:dyDescent="0.2">
      <c r="A196" s="46" t="s">
        <v>90</v>
      </c>
      <c r="B196" s="33">
        <v>1</v>
      </c>
      <c r="C196" s="46">
        <v>4</v>
      </c>
      <c r="D196">
        <f t="shared" si="3"/>
        <v>11</v>
      </c>
      <c r="E196" s="33">
        <v>56</v>
      </c>
    </row>
    <row r="197" spans="1:5" x14ac:dyDescent="0.2">
      <c r="A197" s="46" t="s">
        <v>95</v>
      </c>
      <c r="B197" s="33">
        <v>1</v>
      </c>
      <c r="C197" s="46">
        <v>4</v>
      </c>
      <c r="D197">
        <f t="shared" si="3"/>
        <v>11</v>
      </c>
      <c r="E197" s="33">
        <v>227</v>
      </c>
    </row>
    <row r="198" spans="1:5" x14ac:dyDescent="0.2">
      <c r="A198" s="46" t="s">
        <v>96</v>
      </c>
      <c r="B198" s="33">
        <v>1</v>
      </c>
      <c r="C198" s="46">
        <v>4</v>
      </c>
      <c r="D198">
        <f t="shared" si="3"/>
        <v>11</v>
      </c>
      <c r="E198" s="33">
        <v>51</v>
      </c>
    </row>
    <row r="199" spans="1:5" x14ac:dyDescent="0.2">
      <c r="A199" s="46" t="s">
        <v>100</v>
      </c>
      <c r="B199" s="33">
        <v>1</v>
      </c>
      <c r="C199" s="46">
        <v>4</v>
      </c>
      <c r="D199">
        <f t="shared" si="3"/>
        <v>11</v>
      </c>
      <c r="E199" s="33">
        <v>325</v>
      </c>
    </row>
    <row r="200" spans="1:5" x14ac:dyDescent="0.2">
      <c r="A200" s="46" t="s">
        <v>231</v>
      </c>
      <c r="B200" s="33">
        <v>1</v>
      </c>
      <c r="C200" s="46">
        <v>4</v>
      </c>
      <c r="D200">
        <f t="shared" si="3"/>
        <v>11</v>
      </c>
      <c r="E200" s="33">
        <v>6904</v>
      </c>
    </row>
    <row r="201" spans="1:5" x14ac:dyDescent="0.2">
      <c r="A201" s="46" t="s">
        <v>232</v>
      </c>
      <c r="B201" s="33">
        <v>1</v>
      </c>
      <c r="C201" s="46">
        <v>4</v>
      </c>
      <c r="D201">
        <f t="shared" si="3"/>
        <v>11</v>
      </c>
      <c r="E201" s="33">
        <v>3535</v>
      </c>
    </row>
    <row r="202" spans="1:5" x14ac:dyDescent="0.2">
      <c r="A202" s="46" t="s">
        <v>233</v>
      </c>
      <c r="B202" s="33">
        <v>1</v>
      </c>
      <c r="C202" s="46">
        <v>4</v>
      </c>
      <c r="D202">
        <f t="shared" si="3"/>
        <v>11</v>
      </c>
      <c r="E202" s="33">
        <v>3402</v>
      </c>
    </row>
    <row r="203" spans="1:5" x14ac:dyDescent="0.2">
      <c r="A203" s="46" t="s">
        <v>234</v>
      </c>
      <c r="B203" s="33">
        <v>1</v>
      </c>
      <c r="C203" s="46">
        <v>4</v>
      </c>
      <c r="D203">
        <f t="shared" si="3"/>
        <v>11</v>
      </c>
      <c r="E203" s="33">
        <v>5959</v>
      </c>
    </row>
    <row r="204" spans="1:5" x14ac:dyDescent="0.2">
      <c r="A204" s="46" t="s">
        <v>235</v>
      </c>
      <c r="B204" s="33">
        <v>1</v>
      </c>
      <c r="C204" s="46">
        <v>4</v>
      </c>
      <c r="D204">
        <f t="shared" si="3"/>
        <v>11</v>
      </c>
      <c r="E204" s="33">
        <v>2456</v>
      </c>
    </row>
    <row r="205" spans="1:5" x14ac:dyDescent="0.2">
      <c r="A205" s="46" t="s">
        <v>236</v>
      </c>
      <c r="B205" s="33">
        <v>1</v>
      </c>
      <c r="C205" s="46">
        <v>4</v>
      </c>
      <c r="D205">
        <f t="shared" si="3"/>
        <v>11</v>
      </c>
      <c r="E205" s="33">
        <v>8829</v>
      </c>
    </row>
    <row r="206" spans="1:5" x14ac:dyDescent="0.2">
      <c r="A206" s="46" t="s">
        <v>238</v>
      </c>
      <c r="B206" s="33">
        <v>1</v>
      </c>
      <c r="C206" s="46">
        <v>4</v>
      </c>
      <c r="D206">
        <f t="shared" si="3"/>
        <v>11</v>
      </c>
      <c r="E206" s="33">
        <v>6794</v>
      </c>
    </row>
    <row r="207" spans="1:5" x14ac:dyDescent="0.2">
      <c r="A207" s="46" t="s">
        <v>239</v>
      </c>
      <c r="B207" s="33">
        <v>1</v>
      </c>
      <c r="C207" s="46">
        <v>4</v>
      </c>
      <c r="D207">
        <f t="shared" si="3"/>
        <v>11</v>
      </c>
      <c r="E207" s="33">
        <v>2138</v>
      </c>
    </row>
    <row r="208" spans="1:5" x14ac:dyDescent="0.2">
      <c r="A208" s="46" t="s">
        <v>240</v>
      </c>
      <c r="B208" s="33">
        <v>1</v>
      </c>
      <c r="C208" s="46">
        <v>4</v>
      </c>
      <c r="D208">
        <f t="shared" si="3"/>
        <v>11</v>
      </c>
      <c r="E208" s="33">
        <v>2093</v>
      </c>
    </row>
    <row r="209" spans="1:5" x14ac:dyDescent="0.2">
      <c r="A209" s="46" t="s">
        <v>241</v>
      </c>
      <c r="B209" s="33">
        <v>1</v>
      </c>
      <c r="C209" s="46">
        <v>4</v>
      </c>
      <c r="D209">
        <f t="shared" si="3"/>
        <v>11</v>
      </c>
      <c r="E209" s="33">
        <v>744</v>
      </c>
    </row>
    <row r="210" spans="1:5" x14ac:dyDescent="0.2">
      <c r="A210" s="46" t="s">
        <v>242</v>
      </c>
      <c r="B210" s="33">
        <v>1</v>
      </c>
      <c r="C210" s="46">
        <v>4</v>
      </c>
      <c r="D210">
        <f t="shared" si="3"/>
        <v>11</v>
      </c>
      <c r="E210" s="33">
        <v>6041</v>
      </c>
    </row>
    <row r="211" spans="1:5" x14ac:dyDescent="0.2">
      <c r="A211" s="46" t="s">
        <v>243</v>
      </c>
      <c r="B211" s="33">
        <v>1</v>
      </c>
      <c r="C211" s="46">
        <v>4</v>
      </c>
      <c r="D211">
        <f t="shared" si="3"/>
        <v>11</v>
      </c>
      <c r="E211" s="33">
        <v>2036</v>
      </c>
    </row>
    <row r="212" spans="1:5" x14ac:dyDescent="0.2">
      <c r="A212" s="46" t="s">
        <v>245</v>
      </c>
      <c r="B212" s="33">
        <v>1</v>
      </c>
      <c r="C212" s="46">
        <v>4</v>
      </c>
      <c r="D212">
        <f t="shared" si="3"/>
        <v>11</v>
      </c>
      <c r="E212" s="33">
        <v>10450</v>
      </c>
    </row>
    <row r="213" spans="1:5" x14ac:dyDescent="0.2">
      <c r="A213" s="46" t="s">
        <v>246</v>
      </c>
      <c r="B213" s="33">
        <v>1</v>
      </c>
      <c r="C213" s="46">
        <v>4</v>
      </c>
      <c r="D213">
        <f t="shared" si="3"/>
        <v>11</v>
      </c>
      <c r="E213" s="33">
        <v>3116</v>
      </c>
    </row>
    <row r="214" spans="1:5" x14ac:dyDescent="0.2">
      <c r="A214" s="46" t="s">
        <v>248</v>
      </c>
      <c r="B214" s="33">
        <v>1</v>
      </c>
      <c r="C214" s="46">
        <v>4</v>
      </c>
      <c r="D214">
        <f t="shared" si="3"/>
        <v>11</v>
      </c>
      <c r="E214" s="33">
        <v>1030</v>
      </c>
    </row>
    <row r="215" spans="1:5" x14ac:dyDescent="0.2">
      <c r="A215" s="46" t="s">
        <v>249</v>
      </c>
      <c r="B215" s="33">
        <v>1</v>
      </c>
      <c r="C215" s="46">
        <v>4</v>
      </c>
      <c r="D215">
        <f t="shared" si="3"/>
        <v>11</v>
      </c>
      <c r="E215" s="33">
        <v>2566</v>
      </c>
    </row>
    <row r="216" spans="1:5" x14ac:dyDescent="0.2">
      <c r="A216" s="46" t="s">
        <v>251</v>
      </c>
      <c r="B216" s="33">
        <v>1</v>
      </c>
      <c r="C216" s="46">
        <v>4</v>
      </c>
      <c r="D216">
        <f t="shared" si="3"/>
        <v>11</v>
      </c>
      <c r="E216" s="33">
        <v>551</v>
      </c>
    </row>
    <row r="217" spans="1:5" x14ac:dyDescent="0.2">
      <c r="A217" s="46" t="s">
        <v>253</v>
      </c>
      <c r="B217" s="33">
        <v>1</v>
      </c>
      <c r="C217" s="46">
        <v>4</v>
      </c>
      <c r="D217">
        <f t="shared" si="3"/>
        <v>11</v>
      </c>
      <c r="E217" s="33">
        <v>2499</v>
      </c>
    </row>
    <row r="218" spans="1:5" x14ac:dyDescent="0.2">
      <c r="A218" s="46" t="s">
        <v>378</v>
      </c>
      <c r="B218" s="33">
        <v>1</v>
      </c>
      <c r="C218" s="46">
        <v>4</v>
      </c>
      <c r="D218">
        <f t="shared" si="3"/>
        <v>11</v>
      </c>
      <c r="E218" s="33">
        <v>21</v>
      </c>
    </row>
    <row r="219" spans="1:5" x14ac:dyDescent="0.2">
      <c r="A219" s="46" t="s">
        <v>379</v>
      </c>
      <c r="B219" s="33">
        <v>1</v>
      </c>
      <c r="C219" s="46">
        <v>4</v>
      </c>
      <c r="D219">
        <f t="shared" si="3"/>
        <v>11</v>
      </c>
      <c r="E219" s="33">
        <v>4785</v>
      </c>
    </row>
    <row r="220" spans="1:5" x14ac:dyDescent="0.2">
      <c r="A220" s="46" t="s">
        <v>380</v>
      </c>
      <c r="B220" s="33">
        <v>1</v>
      </c>
      <c r="C220" s="46">
        <v>4</v>
      </c>
      <c r="D220">
        <f t="shared" si="3"/>
        <v>11</v>
      </c>
      <c r="E220" s="33">
        <v>26885</v>
      </c>
    </row>
    <row r="221" spans="1:5" x14ac:dyDescent="0.2">
      <c r="A221" s="46" t="s">
        <v>381</v>
      </c>
      <c r="B221" s="33">
        <v>1</v>
      </c>
      <c r="C221" s="46">
        <v>4</v>
      </c>
      <c r="D221">
        <f t="shared" si="3"/>
        <v>11</v>
      </c>
      <c r="E221" s="33">
        <v>805</v>
      </c>
    </row>
    <row r="222" spans="1:5" x14ac:dyDescent="0.2">
      <c r="A222" s="46" t="s">
        <v>382</v>
      </c>
      <c r="B222" s="33">
        <v>1</v>
      </c>
      <c r="C222" s="46">
        <v>4</v>
      </c>
      <c r="D222">
        <f t="shared" si="3"/>
        <v>11</v>
      </c>
      <c r="E222" s="33">
        <v>15900</v>
      </c>
    </row>
    <row r="223" spans="1:5" x14ac:dyDescent="0.2">
      <c r="A223" s="46" t="s">
        <v>383</v>
      </c>
      <c r="B223" s="33">
        <v>1</v>
      </c>
      <c r="C223" s="46">
        <v>4</v>
      </c>
      <c r="D223">
        <f t="shared" si="3"/>
        <v>11</v>
      </c>
      <c r="E223" s="33">
        <v>15347</v>
      </c>
    </row>
    <row r="224" spans="1:5" x14ac:dyDescent="0.2">
      <c r="A224" s="46" t="s">
        <v>384</v>
      </c>
      <c r="B224" s="33">
        <v>1</v>
      </c>
      <c r="C224" s="46">
        <v>4</v>
      </c>
      <c r="D224">
        <f t="shared" si="3"/>
        <v>11</v>
      </c>
      <c r="E224" s="33">
        <v>92</v>
      </c>
    </row>
    <row r="225" spans="1:5" x14ac:dyDescent="0.2">
      <c r="A225" s="46" t="s">
        <v>385</v>
      </c>
      <c r="B225" s="33">
        <v>1</v>
      </c>
      <c r="C225" s="46">
        <v>4</v>
      </c>
      <c r="D225">
        <f t="shared" si="3"/>
        <v>11</v>
      </c>
      <c r="E225" s="33">
        <v>30495</v>
      </c>
    </row>
    <row r="226" spans="1:5" x14ac:dyDescent="0.2">
      <c r="A226" s="46" t="s">
        <v>386</v>
      </c>
      <c r="B226" s="33">
        <v>1</v>
      </c>
      <c r="C226" s="46">
        <v>4</v>
      </c>
      <c r="D226">
        <f t="shared" si="3"/>
        <v>11</v>
      </c>
      <c r="E226" s="33">
        <v>14929</v>
      </c>
    </row>
    <row r="227" spans="1:5" x14ac:dyDescent="0.2">
      <c r="A227" s="46" t="s">
        <v>388</v>
      </c>
      <c r="B227" s="33">
        <v>1</v>
      </c>
      <c r="C227" s="46">
        <v>4</v>
      </c>
      <c r="D227">
        <f t="shared" si="3"/>
        <v>11</v>
      </c>
      <c r="E227" s="33">
        <v>5117</v>
      </c>
    </row>
    <row r="228" spans="1:5" x14ac:dyDescent="0.2">
      <c r="A228" s="46" t="s">
        <v>389</v>
      </c>
      <c r="B228" s="33">
        <v>1</v>
      </c>
      <c r="C228" s="46">
        <v>4</v>
      </c>
      <c r="D228">
        <f t="shared" si="3"/>
        <v>11</v>
      </c>
      <c r="E228" s="33">
        <v>246</v>
      </c>
    </row>
    <row r="229" spans="1:5" x14ac:dyDescent="0.2">
      <c r="A229" s="46" t="s">
        <v>391</v>
      </c>
      <c r="B229" s="33">
        <v>1</v>
      </c>
      <c r="C229" s="46">
        <v>4</v>
      </c>
      <c r="D229">
        <f t="shared" si="3"/>
        <v>11</v>
      </c>
      <c r="E229" s="33">
        <v>9609</v>
      </c>
    </row>
    <row r="230" spans="1:5" x14ac:dyDescent="0.2">
      <c r="A230" s="46" t="s">
        <v>392</v>
      </c>
      <c r="B230" s="33">
        <v>1</v>
      </c>
      <c r="C230" s="46">
        <v>4</v>
      </c>
      <c r="D230">
        <f t="shared" si="3"/>
        <v>11</v>
      </c>
      <c r="E230" s="33">
        <v>295</v>
      </c>
    </row>
    <row r="231" spans="1:5" x14ac:dyDescent="0.2">
      <c r="A231" s="46" t="s">
        <v>393</v>
      </c>
      <c r="B231" s="33">
        <v>1</v>
      </c>
      <c r="C231" s="46">
        <v>4</v>
      </c>
      <c r="D231">
        <f t="shared" si="3"/>
        <v>11</v>
      </c>
      <c r="E231" s="33">
        <v>1328</v>
      </c>
    </row>
    <row r="232" spans="1:5" x14ac:dyDescent="0.2">
      <c r="A232" s="46" t="s">
        <v>395</v>
      </c>
      <c r="B232" s="33">
        <v>1</v>
      </c>
      <c r="C232" s="46">
        <v>4</v>
      </c>
      <c r="D232">
        <f t="shared" si="3"/>
        <v>11</v>
      </c>
      <c r="E232" s="33">
        <v>5052</v>
      </c>
    </row>
    <row r="233" spans="1:5" x14ac:dyDescent="0.2">
      <c r="A233" s="46" t="s">
        <v>396</v>
      </c>
      <c r="B233" s="33">
        <v>1</v>
      </c>
      <c r="C233" s="46">
        <v>4</v>
      </c>
      <c r="D233">
        <f t="shared" si="3"/>
        <v>11</v>
      </c>
      <c r="E233" s="33">
        <v>58574</v>
      </c>
    </row>
    <row r="234" spans="1:5" x14ac:dyDescent="0.2">
      <c r="A234" s="46" t="s">
        <v>397</v>
      </c>
      <c r="B234" s="33">
        <v>1</v>
      </c>
      <c r="C234" s="46">
        <v>4</v>
      </c>
      <c r="D234">
        <f t="shared" si="3"/>
        <v>11</v>
      </c>
      <c r="E234" s="33">
        <v>4349</v>
      </c>
    </row>
    <row r="235" spans="1:5" x14ac:dyDescent="0.2">
      <c r="A235" s="46" t="s">
        <v>398</v>
      </c>
      <c r="B235" s="33">
        <v>1</v>
      </c>
      <c r="C235" s="46">
        <v>4</v>
      </c>
      <c r="D235">
        <f t="shared" si="3"/>
        <v>11</v>
      </c>
      <c r="E235" s="33">
        <v>756</v>
      </c>
    </row>
    <row r="236" spans="1:5" x14ac:dyDescent="0.2">
      <c r="A236" s="46" t="s">
        <v>400</v>
      </c>
      <c r="B236" s="33">
        <v>1</v>
      </c>
      <c r="C236" s="46">
        <v>4</v>
      </c>
      <c r="D236">
        <f t="shared" si="3"/>
        <v>11</v>
      </c>
      <c r="E236" s="33">
        <v>4275</v>
      </c>
    </row>
    <row r="237" spans="1:5" x14ac:dyDescent="0.2">
      <c r="A237" s="46" t="s">
        <v>402</v>
      </c>
      <c r="B237" s="33">
        <v>1</v>
      </c>
      <c r="C237" s="46">
        <v>4</v>
      </c>
      <c r="D237">
        <f t="shared" si="3"/>
        <v>11</v>
      </c>
      <c r="E237" s="33">
        <v>26304</v>
      </c>
    </row>
    <row r="238" spans="1:5" x14ac:dyDescent="0.2">
      <c r="A238" s="46" t="s">
        <v>403</v>
      </c>
      <c r="B238" s="33">
        <v>1</v>
      </c>
      <c r="C238" s="46">
        <v>4</v>
      </c>
      <c r="D238">
        <f t="shared" si="3"/>
        <v>11</v>
      </c>
      <c r="E238" s="33">
        <v>4568</v>
      </c>
    </row>
    <row r="239" spans="1:5" x14ac:dyDescent="0.2">
      <c r="A239" s="46" t="s">
        <v>404</v>
      </c>
      <c r="B239" s="33">
        <v>1</v>
      </c>
      <c r="C239" s="46">
        <v>4</v>
      </c>
      <c r="D239">
        <f t="shared" si="3"/>
        <v>11</v>
      </c>
      <c r="E239" s="33">
        <v>31455</v>
      </c>
    </row>
    <row r="240" spans="1:5" x14ac:dyDescent="0.2">
      <c r="A240" s="46" t="s">
        <v>407</v>
      </c>
      <c r="B240" s="33">
        <v>1</v>
      </c>
      <c r="C240" s="46">
        <v>4</v>
      </c>
      <c r="D240">
        <f t="shared" si="3"/>
        <v>11</v>
      </c>
      <c r="E240" s="33">
        <v>1044</v>
      </c>
    </row>
    <row r="241" spans="1:5" x14ac:dyDescent="0.2">
      <c r="A241" s="46" t="s">
        <v>408</v>
      </c>
      <c r="B241" s="33">
        <v>1</v>
      </c>
      <c r="C241" s="46">
        <v>4</v>
      </c>
      <c r="D241">
        <f t="shared" si="3"/>
        <v>11</v>
      </c>
      <c r="E241" s="33">
        <v>2434</v>
      </c>
    </row>
    <row r="242" spans="1:5" x14ac:dyDescent="0.2">
      <c r="A242" s="46" t="s">
        <v>409</v>
      </c>
      <c r="B242" s="33">
        <v>1</v>
      </c>
      <c r="C242" s="46">
        <v>4</v>
      </c>
      <c r="D242">
        <f t="shared" si="3"/>
        <v>11</v>
      </c>
      <c r="E242" s="33">
        <v>2449</v>
      </c>
    </row>
    <row r="243" spans="1:5" x14ac:dyDescent="0.2">
      <c r="A243" s="46" t="s">
        <v>410</v>
      </c>
      <c r="B243" s="33">
        <v>1</v>
      </c>
      <c r="C243" s="46">
        <v>4</v>
      </c>
      <c r="D243">
        <f t="shared" si="3"/>
        <v>11</v>
      </c>
      <c r="E243" s="33">
        <v>5465</v>
      </c>
    </row>
    <row r="244" spans="1:5" x14ac:dyDescent="0.2">
      <c r="A244" s="46" t="s">
        <v>411</v>
      </c>
      <c r="B244" s="33">
        <v>1</v>
      </c>
      <c r="C244" s="46">
        <v>4</v>
      </c>
      <c r="D244">
        <f t="shared" si="3"/>
        <v>11</v>
      </c>
      <c r="E244" s="33">
        <v>6872</v>
      </c>
    </row>
    <row r="245" spans="1:5" x14ac:dyDescent="0.2">
      <c r="A245" s="46" t="s">
        <v>412</v>
      </c>
      <c r="B245" s="33">
        <v>1</v>
      </c>
      <c r="C245" s="46">
        <v>4</v>
      </c>
      <c r="D245">
        <f t="shared" si="3"/>
        <v>11</v>
      </c>
      <c r="E245" s="33">
        <v>4880</v>
      </c>
    </row>
    <row r="246" spans="1:5" x14ac:dyDescent="0.2">
      <c r="A246" s="47" t="s">
        <v>106</v>
      </c>
      <c r="B246" s="33">
        <v>1</v>
      </c>
      <c r="C246" s="46">
        <v>5</v>
      </c>
      <c r="D246">
        <f t="shared" si="3"/>
        <v>12</v>
      </c>
      <c r="E246" s="48">
        <v>600</v>
      </c>
    </row>
    <row r="247" spans="1:5" x14ac:dyDescent="0.2">
      <c r="A247" s="46" t="s">
        <v>60</v>
      </c>
      <c r="B247" s="33">
        <v>1</v>
      </c>
      <c r="C247" s="46">
        <v>5</v>
      </c>
      <c r="D247">
        <f t="shared" si="3"/>
        <v>12</v>
      </c>
      <c r="E247" s="48">
        <v>1935</v>
      </c>
    </row>
    <row r="248" spans="1:5" x14ac:dyDescent="0.2">
      <c r="A248" s="46" t="s">
        <v>102</v>
      </c>
      <c r="B248" s="33">
        <v>1</v>
      </c>
      <c r="C248" s="46">
        <v>5</v>
      </c>
      <c r="D248">
        <f t="shared" si="3"/>
        <v>12</v>
      </c>
      <c r="E248" s="48">
        <v>600</v>
      </c>
    </row>
    <row r="249" spans="1:5" x14ac:dyDescent="0.2">
      <c r="A249" s="46" t="s">
        <v>103</v>
      </c>
      <c r="B249" s="33">
        <v>1</v>
      </c>
      <c r="C249" s="46">
        <v>5</v>
      </c>
      <c r="D249">
        <f t="shared" si="3"/>
        <v>12</v>
      </c>
      <c r="E249" s="48">
        <v>1782</v>
      </c>
    </row>
    <row r="250" spans="1:5" x14ac:dyDescent="0.2">
      <c r="A250" s="46" t="s">
        <v>104</v>
      </c>
      <c r="B250" s="33">
        <v>1</v>
      </c>
      <c r="C250" s="46">
        <v>5</v>
      </c>
      <c r="D250">
        <f t="shared" si="3"/>
        <v>12</v>
      </c>
      <c r="E250" s="48">
        <v>600</v>
      </c>
    </row>
    <row r="251" spans="1:5" x14ac:dyDescent="0.2">
      <c r="A251" s="46" t="s">
        <v>105</v>
      </c>
      <c r="B251" s="33">
        <v>1</v>
      </c>
      <c r="C251" s="46">
        <v>5</v>
      </c>
      <c r="D251">
        <f t="shared" si="3"/>
        <v>12</v>
      </c>
      <c r="E251" s="48">
        <v>331</v>
      </c>
    </row>
    <row r="252" spans="1:5" x14ac:dyDescent="0.2">
      <c r="A252" s="46" t="s">
        <v>110</v>
      </c>
      <c r="B252" s="33">
        <v>1</v>
      </c>
      <c r="C252" s="46">
        <v>5</v>
      </c>
      <c r="D252">
        <f t="shared" si="3"/>
        <v>12</v>
      </c>
      <c r="E252" s="48">
        <v>205</v>
      </c>
    </row>
    <row r="253" spans="1:5" x14ac:dyDescent="0.2">
      <c r="A253" s="46" t="s">
        <v>111</v>
      </c>
      <c r="B253" s="33">
        <v>1</v>
      </c>
      <c r="C253" s="46">
        <v>5</v>
      </c>
      <c r="D253">
        <f t="shared" si="3"/>
        <v>12</v>
      </c>
      <c r="E253" s="48">
        <v>104</v>
      </c>
    </row>
    <row r="254" spans="1:5" x14ac:dyDescent="0.2">
      <c r="A254" s="46" t="s">
        <v>114</v>
      </c>
      <c r="B254" s="33">
        <v>1</v>
      </c>
      <c r="C254" s="46">
        <v>5</v>
      </c>
      <c r="D254">
        <f t="shared" si="3"/>
        <v>12</v>
      </c>
      <c r="E254" s="48">
        <v>261</v>
      </c>
    </row>
    <row r="255" spans="1:5" x14ac:dyDescent="0.2">
      <c r="A255" s="46" t="s">
        <v>115</v>
      </c>
      <c r="B255" s="33">
        <v>1</v>
      </c>
      <c r="C255" s="46">
        <v>5</v>
      </c>
      <c r="D255">
        <f t="shared" si="3"/>
        <v>12</v>
      </c>
      <c r="E255" s="48">
        <v>190</v>
      </c>
    </row>
    <row r="256" spans="1:5" x14ac:dyDescent="0.2">
      <c r="A256" s="46" t="s">
        <v>117</v>
      </c>
      <c r="B256" s="33">
        <v>1</v>
      </c>
      <c r="C256" s="46">
        <v>5</v>
      </c>
      <c r="D256">
        <f t="shared" si="3"/>
        <v>12</v>
      </c>
      <c r="E256" s="48">
        <v>214</v>
      </c>
    </row>
    <row r="257" spans="1:5" x14ac:dyDescent="0.2">
      <c r="A257" s="46" t="s">
        <v>120</v>
      </c>
      <c r="B257" s="33">
        <v>1</v>
      </c>
      <c r="C257" s="46">
        <v>5</v>
      </c>
      <c r="D257">
        <f t="shared" si="3"/>
        <v>12</v>
      </c>
      <c r="E257" s="48">
        <v>64</v>
      </c>
    </row>
    <row r="258" spans="1:5" x14ac:dyDescent="0.2">
      <c r="A258" s="46" t="s">
        <v>122</v>
      </c>
      <c r="B258" s="33">
        <v>1</v>
      </c>
      <c r="C258" s="46">
        <v>5</v>
      </c>
      <c r="D258">
        <f t="shared" si="3"/>
        <v>12</v>
      </c>
      <c r="E258" s="48">
        <v>2069</v>
      </c>
    </row>
    <row r="259" spans="1:5" x14ac:dyDescent="0.2">
      <c r="A259" s="46" t="s">
        <v>125</v>
      </c>
      <c r="B259" s="33">
        <v>1</v>
      </c>
      <c r="C259" s="46">
        <v>5</v>
      </c>
      <c r="D259">
        <f t="shared" ref="D259:D302" si="4">C259+7</f>
        <v>12</v>
      </c>
      <c r="E259" s="48">
        <v>186</v>
      </c>
    </row>
    <row r="260" spans="1:5" x14ac:dyDescent="0.2">
      <c r="A260" s="46" t="s">
        <v>127</v>
      </c>
      <c r="B260" s="33">
        <v>1</v>
      </c>
      <c r="C260" s="46">
        <v>5</v>
      </c>
      <c r="D260">
        <f t="shared" si="4"/>
        <v>12</v>
      </c>
      <c r="E260" s="48">
        <v>310</v>
      </c>
    </row>
    <row r="261" spans="1:5" x14ac:dyDescent="0.2">
      <c r="A261" s="46" t="s">
        <v>129</v>
      </c>
      <c r="B261" s="33">
        <v>1</v>
      </c>
      <c r="C261" s="46">
        <v>5</v>
      </c>
      <c r="D261">
        <f t="shared" si="4"/>
        <v>12</v>
      </c>
      <c r="E261" s="48">
        <v>87</v>
      </c>
    </row>
    <row r="262" spans="1:5" x14ac:dyDescent="0.2">
      <c r="A262" s="46" t="s">
        <v>130</v>
      </c>
      <c r="B262" s="33">
        <v>1</v>
      </c>
      <c r="C262" s="46">
        <v>5</v>
      </c>
      <c r="D262">
        <f t="shared" si="4"/>
        <v>12</v>
      </c>
      <c r="E262" s="48">
        <v>26392</v>
      </c>
    </row>
    <row r="263" spans="1:5" x14ac:dyDescent="0.2">
      <c r="A263" s="46" t="s">
        <v>131</v>
      </c>
      <c r="B263" s="33">
        <v>1</v>
      </c>
      <c r="C263" s="46">
        <v>5</v>
      </c>
      <c r="D263">
        <f t="shared" si="4"/>
        <v>12</v>
      </c>
      <c r="E263" s="48">
        <v>566</v>
      </c>
    </row>
    <row r="264" spans="1:5" x14ac:dyDescent="0.2">
      <c r="A264" s="46" t="s">
        <v>132</v>
      </c>
      <c r="B264" s="33">
        <v>1</v>
      </c>
      <c r="C264" s="46">
        <v>5</v>
      </c>
      <c r="D264">
        <f t="shared" si="4"/>
        <v>12</v>
      </c>
      <c r="E264" s="48">
        <v>1888</v>
      </c>
    </row>
    <row r="265" spans="1:5" x14ac:dyDescent="0.2">
      <c r="A265" s="46" t="s">
        <v>134</v>
      </c>
      <c r="B265" s="33">
        <v>1</v>
      </c>
      <c r="C265" s="46">
        <v>5</v>
      </c>
      <c r="D265">
        <f t="shared" si="4"/>
        <v>12</v>
      </c>
      <c r="E265" s="48">
        <v>4487</v>
      </c>
    </row>
    <row r="266" spans="1:5" x14ac:dyDescent="0.2">
      <c r="A266" s="46" t="s">
        <v>136</v>
      </c>
      <c r="B266" s="33">
        <v>1</v>
      </c>
      <c r="C266" s="46">
        <v>5</v>
      </c>
      <c r="D266">
        <f t="shared" si="4"/>
        <v>12</v>
      </c>
      <c r="E266" s="48">
        <v>321</v>
      </c>
    </row>
    <row r="267" spans="1:5" x14ac:dyDescent="0.2">
      <c r="A267" s="46" t="s">
        <v>139</v>
      </c>
      <c r="B267" s="33">
        <v>1</v>
      </c>
      <c r="C267" s="46">
        <v>5</v>
      </c>
      <c r="D267">
        <f t="shared" si="4"/>
        <v>12</v>
      </c>
      <c r="E267" s="48">
        <v>215</v>
      </c>
    </row>
    <row r="268" spans="1:5" x14ac:dyDescent="0.2">
      <c r="A268" s="46" t="s">
        <v>141</v>
      </c>
      <c r="B268" s="33">
        <v>1</v>
      </c>
      <c r="C268" s="46">
        <v>5</v>
      </c>
      <c r="D268">
        <f t="shared" si="4"/>
        <v>12</v>
      </c>
      <c r="E268" s="48">
        <v>389</v>
      </c>
    </row>
    <row r="269" spans="1:5" x14ac:dyDescent="0.2">
      <c r="A269" s="46" t="s">
        <v>142</v>
      </c>
      <c r="B269" s="33">
        <v>1</v>
      </c>
      <c r="C269" s="46">
        <v>5</v>
      </c>
      <c r="D269">
        <f t="shared" si="4"/>
        <v>12</v>
      </c>
      <c r="E269" s="48">
        <v>2392</v>
      </c>
    </row>
    <row r="270" spans="1:5" x14ac:dyDescent="0.2">
      <c r="A270" s="46" t="s">
        <v>143</v>
      </c>
      <c r="B270" s="33">
        <v>1</v>
      </c>
      <c r="C270" s="46">
        <v>5</v>
      </c>
      <c r="D270">
        <f t="shared" si="4"/>
        <v>12</v>
      </c>
      <c r="E270" s="48">
        <v>357</v>
      </c>
    </row>
    <row r="271" spans="1:5" x14ac:dyDescent="0.2">
      <c r="A271" s="46" t="s">
        <v>145</v>
      </c>
      <c r="B271" s="33">
        <v>1</v>
      </c>
      <c r="C271" s="46">
        <v>5</v>
      </c>
      <c r="D271">
        <f t="shared" si="4"/>
        <v>12</v>
      </c>
      <c r="E271" s="48">
        <v>658</v>
      </c>
    </row>
    <row r="272" spans="1:5" x14ac:dyDescent="0.2">
      <c r="A272" s="46" t="s">
        <v>146</v>
      </c>
      <c r="B272" s="33">
        <v>1</v>
      </c>
      <c r="C272" s="46">
        <v>5</v>
      </c>
      <c r="D272">
        <f t="shared" si="4"/>
        <v>12</v>
      </c>
      <c r="E272" s="48">
        <v>2052</v>
      </c>
    </row>
    <row r="273" spans="1:5" x14ac:dyDescent="0.2">
      <c r="A273" s="46" t="s">
        <v>148</v>
      </c>
      <c r="B273" s="33">
        <v>1</v>
      </c>
      <c r="C273" s="46">
        <v>5</v>
      </c>
      <c r="D273">
        <f t="shared" si="4"/>
        <v>12</v>
      </c>
      <c r="E273" s="48">
        <v>6320</v>
      </c>
    </row>
    <row r="274" spans="1:5" x14ac:dyDescent="0.2">
      <c r="A274" s="46" t="s">
        <v>149</v>
      </c>
      <c r="B274" s="33">
        <v>1</v>
      </c>
      <c r="C274" s="46">
        <v>5</v>
      </c>
      <c r="D274">
        <f t="shared" si="4"/>
        <v>12</v>
      </c>
      <c r="E274" s="48">
        <v>204</v>
      </c>
    </row>
    <row r="275" spans="1:5" x14ac:dyDescent="0.2">
      <c r="A275" s="46" t="s">
        <v>150</v>
      </c>
      <c r="B275" s="33">
        <v>1</v>
      </c>
      <c r="C275" s="46">
        <v>5</v>
      </c>
      <c r="D275">
        <f t="shared" si="4"/>
        <v>12</v>
      </c>
      <c r="E275" s="48">
        <v>174</v>
      </c>
    </row>
    <row r="276" spans="1:5" x14ac:dyDescent="0.2">
      <c r="A276" s="46" t="s">
        <v>153</v>
      </c>
      <c r="B276" s="33">
        <v>1</v>
      </c>
      <c r="C276" s="46">
        <v>5</v>
      </c>
      <c r="D276">
        <f t="shared" si="4"/>
        <v>12</v>
      </c>
      <c r="E276" s="48">
        <v>1297</v>
      </c>
    </row>
    <row r="277" spans="1:5" x14ac:dyDescent="0.2">
      <c r="A277" s="46" t="s">
        <v>156</v>
      </c>
      <c r="B277" s="33">
        <v>1</v>
      </c>
      <c r="C277" s="46">
        <v>5</v>
      </c>
      <c r="D277">
        <f t="shared" si="4"/>
        <v>12</v>
      </c>
      <c r="E277" s="48">
        <v>15</v>
      </c>
    </row>
    <row r="278" spans="1:5" x14ac:dyDescent="0.2">
      <c r="A278" s="46" t="s">
        <v>162</v>
      </c>
      <c r="B278" s="33">
        <v>1</v>
      </c>
      <c r="C278" s="46">
        <v>5</v>
      </c>
      <c r="D278">
        <f t="shared" si="4"/>
        <v>12</v>
      </c>
      <c r="E278" s="48">
        <v>3545</v>
      </c>
    </row>
    <row r="279" spans="1:5" x14ac:dyDescent="0.2">
      <c r="A279" s="46" t="s">
        <v>166</v>
      </c>
      <c r="B279" s="33">
        <v>1</v>
      </c>
      <c r="C279" s="46">
        <v>5</v>
      </c>
      <c r="D279">
        <f t="shared" si="4"/>
        <v>12</v>
      </c>
      <c r="E279" s="48">
        <v>64</v>
      </c>
    </row>
    <row r="280" spans="1:5" x14ac:dyDescent="0.2">
      <c r="A280" s="46" t="s">
        <v>294</v>
      </c>
      <c r="B280" s="33">
        <v>1</v>
      </c>
      <c r="C280" s="46">
        <v>5</v>
      </c>
      <c r="D280">
        <f t="shared" si="4"/>
        <v>12</v>
      </c>
      <c r="E280" s="48">
        <v>22</v>
      </c>
    </row>
    <row r="281" spans="1:5" x14ac:dyDescent="0.2">
      <c r="A281" s="46" t="s">
        <v>295</v>
      </c>
      <c r="B281" s="33">
        <v>1</v>
      </c>
      <c r="C281" s="46">
        <v>5</v>
      </c>
      <c r="D281">
        <f t="shared" si="4"/>
        <v>12</v>
      </c>
      <c r="E281" s="48">
        <v>3244</v>
      </c>
    </row>
    <row r="282" spans="1:5" x14ac:dyDescent="0.2">
      <c r="A282" s="46" t="s">
        <v>296</v>
      </c>
      <c r="B282" s="33">
        <v>1</v>
      </c>
      <c r="C282" s="46">
        <v>5</v>
      </c>
      <c r="D282">
        <f t="shared" si="4"/>
        <v>12</v>
      </c>
      <c r="E282" s="48">
        <v>164</v>
      </c>
    </row>
    <row r="283" spans="1:5" x14ac:dyDescent="0.2">
      <c r="A283" s="50" t="s">
        <v>255</v>
      </c>
      <c r="B283" s="33">
        <v>1</v>
      </c>
      <c r="C283" s="50">
        <v>6</v>
      </c>
      <c r="D283">
        <f t="shared" si="4"/>
        <v>13</v>
      </c>
      <c r="E283" s="33">
        <v>543</v>
      </c>
    </row>
    <row r="284" spans="1:5" x14ac:dyDescent="0.2">
      <c r="A284" s="50" t="s">
        <v>256</v>
      </c>
      <c r="B284" s="33">
        <v>1</v>
      </c>
      <c r="C284" s="50">
        <v>6</v>
      </c>
      <c r="D284">
        <f t="shared" si="4"/>
        <v>13</v>
      </c>
      <c r="E284" s="33">
        <v>4501</v>
      </c>
    </row>
    <row r="285" spans="1:5" x14ac:dyDescent="0.2">
      <c r="A285" s="50" t="s">
        <v>258</v>
      </c>
      <c r="B285" s="33">
        <v>1</v>
      </c>
      <c r="C285" s="50">
        <v>6</v>
      </c>
      <c r="D285">
        <f t="shared" si="4"/>
        <v>13</v>
      </c>
      <c r="E285" s="33">
        <v>834</v>
      </c>
    </row>
    <row r="286" spans="1:5" x14ac:dyDescent="0.2">
      <c r="A286" s="50" t="s">
        <v>263</v>
      </c>
      <c r="B286" s="33">
        <v>1</v>
      </c>
      <c r="C286" s="50">
        <v>6</v>
      </c>
      <c r="D286">
        <f t="shared" si="4"/>
        <v>13</v>
      </c>
      <c r="E286" s="33">
        <v>17171</v>
      </c>
    </row>
    <row r="287" spans="1:5" x14ac:dyDescent="0.2">
      <c r="A287" s="50" t="s">
        <v>265</v>
      </c>
      <c r="B287" s="33">
        <v>1</v>
      </c>
      <c r="C287" s="50">
        <v>6</v>
      </c>
      <c r="D287">
        <f t="shared" si="4"/>
        <v>13</v>
      </c>
      <c r="E287" s="33">
        <v>4251</v>
      </c>
    </row>
    <row r="288" spans="1:5" x14ac:dyDescent="0.2">
      <c r="A288" s="50" t="s">
        <v>266</v>
      </c>
      <c r="B288" s="33">
        <v>1</v>
      </c>
      <c r="C288" s="50">
        <v>6</v>
      </c>
      <c r="D288">
        <f t="shared" si="4"/>
        <v>13</v>
      </c>
      <c r="E288" s="33">
        <v>750</v>
      </c>
    </row>
    <row r="289" spans="1:5" x14ac:dyDescent="0.2">
      <c r="A289" s="50" t="s">
        <v>267</v>
      </c>
      <c r="B289" s="33">
        <v>1</v>
      </c>
      <c r="C289" s="50">
        <v>6</v>
      </c>
      <c r="D289">
        <f t="shared" si="4"/>
        <v>13</v>
      </c>
      <c r="E289" s="33">
        <v>5411</v>
      </c>
    </row>
    <row r="290" spans="1:5" x14ac:dyDescent="0.2">
      <c r="A290" s="50" t="s">
        <v>269</v>
      </c>
      <c r="B290" s="33">
        <v>1</v>
      </c>
      <c r="C290" s="50">
        <v>6</v>
      </c>
      <c r="D290">
        <f t="shared" si="4"/>
        <v>13</v>
      </c>
      <c r="E290" s="33">
        <v>231</v>
      </c>
    </row>
    <row r="291" spans="1:5" x14ac:dyDescent="0.2">
      <c r="A291" s="50" t="s">
        <v>270</v>
      </c>
      <c r="B291" s="33">
        <v>1</v>
      </c>
      <c r="C291" s="50">
        <v>6</v>
      </c>
      <c r="D291">
        <f t="shared" si="4"/>
        <v>13</v>
      </c>
      <c r="E291" s="33">
        <v>149</v>
      </c>
    </row>
    <row r="292" spans="1:5" x14ac:dyDescent="0.2">
      <c r="A292" s="50" t="s">
        <v>272</v>
      </c>
      <c r="B292" s="33">
        <v>1</v>
      </c>
      <c r="C292" s="50">
        <v>6</v>
      </c>
      <c r="D292">
        <f t="shared" si="4"/>
        <v>13</v>
      </c>
      <c r="E292" s="33">
        <v>539</v>
      </c>
    </row>
    <row r="293" spans="1:5" x14ac:dyDescent="0.2">
      <c r="A293" s="50" t="s">
        <v>273</v>
      </c>
      <c r="B293" s="33">
        <v>1</v>
      </c>
      <c r="C293" s="50">
        <v>6</v>
      </c>
      <c r="D293">
        <f t="shared" si="4"/>
        <v>13</v>
      </c>
      <c r="E293" s="33">
        <v>2665</v>
      </c>
    </row>
    <row r="294" spans="1:5" x14ac:dyDescent="0.2">
      <c r="A294" s="50" t="s">
        <v>276</v>
      </c>
      <c r="B294" s="33">
        <v>1</v>
      </c>
      <c r="C294" s="50">
        <v>6</v>
      </c>
      <c r="D294">
        <f t="shared" si="4"/>
        <v>13</v>
      </c>
      <c r="E294" s="33">
        <v>120</v>
      </c>
    </row>
    <row r="295" spans="1:5" x14ac:dyDescent="0.2">
      <c r="A295" s="50" t="s">
        <v>278</v>
      </c>
      <c r="B295" s="33">
        <v>1</v>
      </c>
      <c r="C295" s="50">
        <v>6</v>
      </c>
      <c r="D295">
        <f t="shared" si="4"/>
        <v>13</v>
      </c>
      <c r="E295" s="33">
        <v>170</v>
      </c>
    </row>
    <row r="296" spans="1:5" x14ac:dyDescent="0.2">
      <c r="A296" s="50" t="s">
        <v>279</v>
      </c>
      <c r="B296" s="33">
        <v>1</v>
      </c>
      <c r="C296" s="50">
        <v>6</v>
      </c>
      <c r="D296">
        <f t="shared" si="4"/>
        <v>13</v>
      </c>
      <c r="E296" s="33">
        <v>5317</v>
      </c>
    </row>
    <row r="297" spans="1:5" x14ac:dyDescent="0.2">
      <c r="A297" s="50" t="s">
        <v>280</v>
      </c>
      <c r="B297" s="33">
        <v>1</v>
      </c>
      <c r="C297" s="50">
        <v>6</v>
      </c>
      <c r="D297">
        <f t="shared" si="4"/>
        <v>13</v>
      </c>
      <c r="E297" s="33">
        <v>109</v>
      </c>
    </row>
    <row r="298" spans="1:5" x14ac:dyDescent="0.2">
      <c r="A298" s="50" t="s">
        <v>284</v>
      </c>
      <c r="B298" s="33">
        <v>1</v>
      </c>
      <c r="C298" s="50">
        <v>6</v>
      </c>
      <c r="D298">
        <f t="shared" si="4"/>
        <v>13</v>
      </c>
      <c r="E298" s="33">
        <v>5763</v>
      </c>
    </row>
    <row r="299" spans="1:5" x14ac:dyDescent="0.2">
      <c r="A299" s="50" t="s">
        <v>285</v>
      </c>
      <c r="B299" s="33">
        <v>1</v>
      </c>
      <c r="C299" s="50">
        <v>6</v>
      </c>
      <c r="D299">
        <f t="shared" si="4"/>
        <v>13</v>
      </c>
      <c r="E299" s="33">
        <v>743</v>
      </c>
    </row>
    <row r="300" spans="1:5" x14ac:dyDescent="0.2">
      <c r="A300" s="50" t="s">
        <v>288</v>
      </c>
      <c r="B300" s="33">
        <v>1</v>
      </c>
      <c r="C300" s="50">
        <v>6</v>
      </c>
      <c r="D300">
        <f t="shared" si="4"/>
        <v>13</v>
      </c>
      <c r="E300" s="33">
        <v>505</v>
      </c>
    </row>
    <row r="301" spans="1:5" x14ac:dyDescent="0.2">
      <c r="A301" s="50" t="s">
        <v>291</v>
      </c>
      <c r="B301" s="33">
        <v>1</v>
      </c>
      <c r="C301" s="50">
        <v>6</v>
      </c>
      <c r="D301">
        <f t="shared" si="4"/>
        <v>13</v>
      </c>
      <c r="E301" s="33">
        <v>66</v>
      </c>
    </row>
    <row r="302" spans="1:5" x14ac:dyDescent="0.2">
      <c r="A302" s="50" t="s">
        <v>292</v>
      </c>
      <c r="B302" s="33">
        <v>1</v>
      </c>
      <c r="C302" s="50">
        <v>6</v>
      </c>
      <c r="D302">
        <f t="shared" si="4"/>
        <v>13</v>
      </c>
      <c r="E302" s="33">
        <v>12</v>
      </c>
    </row>
  </sheetData>
  <mergeCells count="8">
    <mergeCell ref="N39:R39"/>
    <mergeCell ref="U39:Y39"/>
    <mergeCell ref="AC39:AG39"/>
    <mergeCell ref="AK39:AO39"/>
    <mergeCell ref="F3:K3"/>
    <mergeCell ref="N3:R3"/>
    <mergeCell ref="V3:Z3"/>
    <mergeCell ref="F38:J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Oocyst infection load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Maia</dc:creator>
  <cp:lastModifiedBy>Microsoft Office User</cp:lastModifiedBy>
  <dcterms:created xsi:type="dcterms:W3CDTF">2017-11-07T10:28:06Z</dcterms:created>
  <dcterms:modified xsi:type="dcterms:W3CDTF">2018-03-19T15:12:00Z</dcterms:modified>
</cp:coreProperties>
</file>